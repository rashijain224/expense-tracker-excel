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pivotTables/pivotTable14.xml" ContentType="application/vnd.openxmlformats-officedocument.spreadsheetml.pivotTable+xml"/>
  <Override PartName="/xl/drawings/drawing21.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2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9.xml" ContentType="application/vnd.openxmlformats-officedocument.spreadsheetml.pivotTable+xml"/>
  <Override PartName="/xl/drawings/drawing2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2.xml" ContentType="application/vnd.openxmlformats-officedocument.spreadsheetml.table+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hidePivotFieldList="1"/>
  <xr:revisionPtr revIDLastSave="0" documentId="8_{860728EB-BF92-48B0-B55F-228A972EA584}" xr6:coauthVersionLast="47" xr6:coauthVersionMax="47" xr10:uidLastSave="{00000000-0000-0000-0000-000000000000}"/>
  <bookViews>
    <workbookView xWindow="-110" yWindow="-110" windowWidth="19420" windowHeight="11500" tabRatio="891" firstSheet="21" activeTab="24" xr2:uid="{00000000-000D-0000-FFFF-FFFF00000000}"/>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Sheet1" sheetId="24" r:id="rId21"/>
    <sheet name="Sheet2" sheetId="25" r:id="rId22"/>
    <sheet name="Student Marksheet " sheetId="26" r:id="rId23"/>
    <sheet name="Sheet3" sheetId="28" state="hidden" r:id="rId24"/>
    <sheet name="Expense Tracker" sheetId="27" r:id="rId25"/>
    <sheet name="Sales Dashboard" sheetId="30" r:id="rId26"/>
    <sheet name="Pivot Tables" sheetId="32" r:id="rId27"/>
    <sheet name="Sheet8" sheetId="34" r:id="rId28"/>
    <sheet name="Raw_Data" sheetId="33" r:id="rId29"/>
    <sheet name="20" sheetId="22" state="hidden" r:id="rId30"/>
    <sheet name="Learn more" sheetId="23" state="hidden" r:id="rId31"/>
  </sheets>
  <definedNames>
    <definedName name="_xlnm._FilterDatabase" localSheetId="24" hidden="1">'Expense Tracker'!$A$4:$E$34</definedName>
    <definedName name="_xlnm._FilterDatabase" localSheetId="28" hidden="1">Raw_Data!$A$4:$P$4</definedName>
    <definedName name="_xlnm._FilterDatabase" localSheetId="20" hidden="1">Sheet1!$B$135:$E$161</definedName>
    <definedName name="_xlnm._FilterDatabase" localSheetId="21" hidden="1">Sheet2!$G$247:$I$249</definedName>
    <definedName name="_xlnm.Criteria" localSheetId="21">Sheet2!$H$1:$H$2</definedName>
    <definedName name="ExternalData_1" localSheetId="25" hidden="1">'Sales Dashboard'!#REF!</definedName>
    <definedName name="_xlnm.Extract" localSheetId="21">Sheet2!#REF!</definedName>
    <definedName name="rng_Expenses20">'20'!$B$15:$E$22</definedName>
    <definedName name="Slicer_Category">#N/A</definedName>
    <definedName name="Slicer_Month">#N/A</definedName>
    <definedName name="Slicer_Payment_Method">#N/A</definedName>
    <definedName name="Slicer_Region">#N/A</definedName>
  </definedNames>
  <calcPr calcId="191029"/>
  <pivotCaches>
    <pivotCache cacheId="0" r:id="rId32"/>
    <pivotCache cacheId="1" r:id="rId33"/>
    <pivotCache cacheId="2" r:id="rId34"/>
    <pivotCache cacheId="3" r:id="rId35"/>
    <pivotCache cacheId="4" r:id="rId36"/>
    <pivotCache cacheId="5" r:id="rId37"/>
    <pivotCache cacheId="6" r:id="rId38"/>
    <pivotCache cacheId="7" r:id="rId39"/>
    <pivotCache cacheId="8" r:id="rId40"/>
    <pivotCache cacheId="9" r:id="rId41"/>
    <pivotCache cacheId="10" r:id="rId42"/>
    <pivotCache cacheId="11" r:id="rId43"/>
    <pivotCache cacheId="25" r:id="rId44"/>
    <pivotCache cacheId="29" r:id="rId45"/>
  </pivotCaches>
  <fileRecoveryPr autoRecover="0"/>
  <extLst>
    <ext xmlns:x14="http://schemas.microsoft.com/office/spreadsheetml/2009/9/main" uri="{BBE1A952-AA13-448e-AADC-164F8A28A991}">
      <x14:slicerCaches>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33" l="1"/>
  <c r="N7" i="33"/>
  <c r="N8" i="33"/>
  <c r="N9" i="33"/>
  <c r="N10" i="33"/>
  <c r="N11" i="33"/>
  <c r="N12" i="33"/>
  <c r="N13" i="33"/>
  <c r="N14" i="33"/>
  <c r="N15" i="33"/>
  <c r="N16" i="33"/>
  <c r="N17" i="33"/>
  <c r="N18" i="33"/>
  <c r="N19" i="33"/>
  <c r="N20" i="33"/>
  <c r="N21" i="33"/>
  <c r="N22" i="33"/>
  <c r="N23" i="33"/>
  <c r="N24" i="33"/>
  <c r="N25" i="33"/>
  <c r="N26" i="33"/>
  <c r="N27" i="33"/>
  <c r="N28" i="33"/>
  <c r="N29" i="33"/>
  <c r="N30" i="33"/>
  <c r="N31" i="33"/>
  <c r="N32" i="33"/>
  <c r="N33" i="33"/>
  <c r="N34" i="33"/>
  <c r="N35" i="33"/>
  <c r="N36" i="33"/>
  <c r="N37" i="33"/>
  <c r="N38" i="33"/>
  <c r="N39" i="33"/>
  <c r="N40" i="33"/>
  <c r="N41" i="33"/>
  <c r="N42" i="33"/>
  <c r="N43" i="33"/>
  <c r="N44" i="33"/>
  <c r="N45" i="33"/>
  <c r="N46" i="33"/>
  <c r="N47" i="33"/>
  <c r="N48" i="33"/>
  <c r="N49" i="33"/>
  <c r="N50" i="33"/>
  <c r="N51" i="33"/>
  <c r="N52" i="33"/>
  <c r="N53" i="33"/>
  <c r="N54" i="33"/>
  <c r="N55" i="33"/>
  <c r="N56" i="33"/>
  <c r="N57" i="33"/>
  <c r="N58" i="33"/>
  <c r="N59" i="33"/>
  <c r="N60" i="33"/>
  <c r="N61" i="33"/>
  <c r="N62" i="33"/>
  <c r="N63" i="33"/>
  <c r="N64" i="33"/>
  <c r="N65" i="33"/>
  <c r="N66" i="33"/>
  <c r="N67" i="33"/>
  <c r="N68" i="33"/>
  <c r="N69" i="33"/>
  <c r="N70" i="33"/>
  <c r="N71" i="33"/>
  <c r="N72" i="33"/>
  <c r="N73" i="33"/>
  <c r="N74" i="33"/>
  <c r="N75" i="33"/>
  <c r="N76" i="33"/>
  <c r="N77" i="33"/>
  <c r="N78" i="33"/>
  <c r="N79" i="33"/>
  <c r="N80" i="33"/>
  <c r="N81" i="33"/>
  <c r="N82" i="33"/>
  <c r="N83" i="33"/>
  <c r="N84" i="33"/>
  <c r="N85" i="33"/>
  <c r="N86" i="33"/>
  <c r="N87" i="33"/>
  <c r="N88" i="33"/>
  <c r="N89" i="33"/>
  <c r="N90" i="33"/>
  <c r="N91" i="33"/>
  <c r="N92" i="33"/>
  <c r="N93" i="33"/>
  <c r="N94" i="33"/>
  <c r="N95" i="33"/>
  <c r="N96" i="33"/>
  <c r="N97" i="33"/>
  <c r="N98" i="33"/>
  <c r="N99" i="33"/>
  <c r="N100" i="33"/>
  <c r="N101" i="33"/>
  <c r="N102" i="33"/>
  <c r="N103" i="33"/>
  <c r="N104" i="33"/>
  <c r="N5" i="33"/>
  <c r="L29" i="33"/>
  <c r="L30" i="33"/>
  <c r="L31" i="33"/>
  <c r="L32" i="33"/>
  <c r="L33" i="33"/>
  <c r="L34" i="33"/>
  <c r="L35" i="33"/>
  <c r="L36" i="33"/>
  <c r="L37" i="33"/>
  <c r="L38" i="33"/>
  <c r="L39" i="33"/>
  <c r="L40" i="33"/>
  <c r="L41" i="33"/>
  <c r="L42" i="33"/>
  <c r="L43" i="33"/>
  <c r="L44" i="33"/>
  <c r="L45" i="33"/>
  <c r="L46" i="33"/>
  <c r="L47" i="33"/>
  <c r="L48" i="33"/>
  <c r="L49" i="33"/>
  <c r="L50" i="33"/>
  <c r="L51" i="33"/>
  <c r="L52" i="33"/>
  <c r="L53" i="33"/>
  <c r="L54" i="33"/>
  <c r="L55" i="33"/>
  <c r="L56" i="33"/>
  <c r="L57" i="33"/>
  <c r="L58" i="33"/>
  <c r="L59" i="33"/>
  <c r="L60" i="33"/>
  <c r="L61" i="33"/>
  <c r="L62" i="33"/>
  <c r="L63" i="33"/>
  <c r="L64" i="33"/>
  <c r="L65" i="33"/>
  <c r="L66" i="33"/>
  <c r="L67" i="33"/>
  <c r="L68" i="33"/>
  <c r="L69" i="33"/>
  <c r="L70" i="33"/>
  <c r="L71" i="33"/>
  <c r="L72" i="33"/>
  <c r="L73" i="33"/>
  <c r="L74" i="33"/>
  <c r="L75" i="33"/>
  <c r="L76" i="33"/>
  <c r="L77" i="33"/>
  <c r="L78" i="33"/>
  <c r="L79" i="33"/>
  <c r="L80" i="33"/>
  <c r="L81" i="33"/>
  <c r="L82" i="33"/>
  <c r="L83" i="33"/>
  <c r="L84" i="33"/>
  <c r="L85" i="33"/>
  <c r="L86" i="33"/>
  <c r="L87" i="33"/>
  <c r="L88" i="33"/>
  <c r="L89" i="33"/>
  <c r="L90" i="33"/>
  <c r="L91" i="33"/>
  <c r="L92" i="33"/>
  <c r="L93" i="33"/>
  <c r="L94" i="33"/>
  <c r="L95" i="33"/>
  <c r="L96" i="33"/>
  <c r="L97" i="33"/>
  <c r="L98" i="33"/>
  <c r="L99" i="33"/>
  <c r="L100" i="33"/>
  <c r="L101" i="33"/>
  <c r="L102" i="33"/>
  <c r="L103" i="33"/>
  <c r="L104" i="33"/>
  <c r="L17" i="33"/>
  <c r="L18" i="33"/>
  <c r="L19" i="33"/>
  <c r="L20" i="33"/>
  <c r="L21" i="33"/>
  <c r="L22" i="33"/>
  <c r="L23" i="33"/>
  <c r="L24" i="33"/>
  <c r="L25" i="33"/>
  <c r="L26" i="33"/>
  <c r="L27" i="33"/>
  <c r="L28" i="33"/>
  <c r="L15" i="33"/>
  <c r="L16" i="33"/>
  <c r="L6" i="33"/>
  <c r="L7" i="33"/>
  <c r="L8" i="33"/>
  <c r="L9" i="33"/>
  <c r="L10" i="33"/>
  <c r="L11" i="33"/>
  <c r="L12" i="33"/>
  <c r="L13" i="33"/>
  <c r="L14" i="33"/>
  <c r="L5" i="33"/>
  <c r="K6" i="33"/>
  <c r="K7" i="33"/>
  <c r="K8" i="33"/>
  <c r="K9" i="33"/>
  <c r="K10" i="33"/>
  <c r="K11" i="33"/>
  <c r="K12" i="33"/>
  <c r="K13" i="33"/>
  <c r="K14" i="33"/>
  <c r="K15" i="33"/>
  <c r="K16" i="33"/>
  <c r="K17" i="33"/>
  <c r="K18" i="33"/>
  <c r="K19" i="33"/>
  <c r="K20" i="33"/>
  <c r="K21" i="33"/>
  <c r="K22" i="33"/>
  <c r="K23" i="33"/>
  <c r="K24" i="33"/>
  <c r="K25" i="33"/>
  <c r="K26" i="33"/>
  <c r="K27" i="33"/>
  <c r="K28" i="33"/>
  <c r="K29" i="33"/>
  <c r="K30" i="33"/>
  <c r="K31" i="33"/>
  <c r="K32" i="33"/>
  <c r="K33" i="33"/>
  <c r="K34" i="33"/>
  <c r="K35" i="33"/>
  <c r="K36" i="33"/>
  <c r="K37" i="33"/>
  <c r="K38" i="33"/>
  <c r="K39" i="33"/>
  <c r="K40" i="33"/>
  <c r="K41" i="33"/>
  <c r="K42" i="33"/>
  <c r="K43" i="33"/>
  <c r="K44" i="33"/>
  <c r="K45" i="33"/>
  <c r="K46" i="33"/>
  <c r="K47" i="33"/>
  <c r="K48" i="33"/>
  <c r="K49" i="33"/>
  <c r="K50" i="33"/>
  <c r="K51" i="33"/>
  <c r="K52" i="33"/>
  <c r="K53" i="33"/>
  <c r="K54" i="33"/>
  <c r="K55" i="33"/>
  <c r="K56" i="33"/>
  <c r="K57" i="33"/>
  <c r="K58" i="33"/>
  <c r="K59" i="33"/>
  <c r="K60" i="33"/>
  <c r="K61" i="33"/>
  <c r="K62" i="33"/>
  <c r="K63" i="33"/>
  <c r="K64" i="33"/>
  <c r="K65" i="33"/>
  <c r="K66" i="33"/>
  <c r="K67" i="33"/>
  <c r="K68" i="33"/>
  <c r="K69" i="33"/>
  <c r="K70" i="33"/>
  <c r="K71" i="33"/>
  <c r="K72" i="33"/>
  <c r="K73" i="33"/>
  <c r="K74" i="33"/>
  <c r="K75" i="33"/>
  <c r="K76" i="33"/>
  <c r="K77" i="33"/>
  <c r="K78" i="33"/>
  <c r="K79" i="33"/>
  <c r="K80" i="33"/>
  <c r="K81" i="33"/>
  <c r="K82" i="33"/>
  <c r="K83" i="33"/>
  <c r="K84" i="33"/>
  <c r="K85" i="33"/>
  <c r="K86" i="33"/>
  <c r="K87" i="33"/>
  <c r="K88" i="33"/>
  <c r="K89" i="33"/>
  <c r="K90" i="33"/>
  <c r="K91" i="33"/>
  <c r="K92" i="33"/>
  <c r="K93" i="33"/>
  <c r="K94" i="33"/>
  <c r="K95" i="33"/>
  <c r="K96" i="33"/>
  <c r="K97" i="33"/>
  <c r="K98" i="33"/>
  <c r="K99" i="33"/>
  <c r="K100" i="33"/>
  <c r="K101" i="33"/>
  <c r="K102" i="33"/>
  <c r="K103" i="33"/>
  <c r="K104" i="33"/>
  <c r="K5" i="33"/>
  <c r="K254" i="25"/>
  <c r="I257" i="25"/>
  <c r="I256" i="25"/>
  <c r="I252" i="25"/>
  <c r="I248" i="25"/>
  <c r="E209" i="25"/>
  <c r="E208" i="25"/>
  <c r="E207" i="25"/>
  <c r="E206" i="25"/>
  <c r="E205" i="25"/>
  <c r="E204" i="25"/>
  <c r="E203" i="25"/>
  <c r="E202" i="25"/>
  <c r="E180" i="25"/>
  <c r="E181" i="25"/>
  <c r="E182" i="25"/>
  <c r="E183" i="25"/>
  <c r="E184" i="25"/>
  <c r="E185" i="25"/>
  <c r="E186" i="25"/>
  <c r="E179" i="25"/>
  <c r="D168" i="25"/>
  <c r="D169" i="25"/>
  <c r="D170" i="25"/>
  <c r="D171" i="25"/>
  <c r="D172" i="25"/>
  <c r="D167" i="25"/>
  <c r="G159" i="25"/>
  <c r="G160" i="25"/>
  <c r="G161" i="25"/>
  <c r="G162" i="25"/>
  <c r="G163" i="25"/>
  <c r="G158" i="25"/>
  <c r="G149" i="25"/>
  <c r="G150" i="25"/>
  <c r="G148" i="25"/>
  <c r="G121" i="25"/>
  <c r="G120" i="25"/>
  <c r="I31" i="27"/>
  <c r="I30" i="27"/>
  <c r="I29" i="27"/>
  <c r="I28" i="27"/>
  <c r="I27" i="27"/>
  <c r="I26" i="27"/>
  <c r="I25" i="27"/>
  <c r="I24" i="27"/>
  <c r="I23" i="27"/>
  <c r="I22" i="27"/>
  <c r="I21" i="27"/>
  <c r="I20" i="27"/>
  <c r="I12" i="27"/>
  <c r="I11" i="27"/>
  <c r="I10" i="27"/>
  <c r="I9" i="27"/>
  <c r="I8" i="27"/>
  <c r="I7" i="27"/>
  <c r="K57" i="26"/>
  <c r="H56" i="26"/>
  <c r="L54" i="26"/>
  <c r="K54" i="26"/>
  <c r="J54" i="26"/>
  <c r="I54" i="26"/>
  <c r="H54" i="26"/>
  <c r="L53" i="26"/>
  <c r="K53" i="26"/>
  <c r="J53" i="26"/>
  <c r="I53" i="26"/>
  <c r="H53" i="26"/>
  <c r="L52" i="26"/>
  <c r="K52" i="26"/>
  <c r="J52" i="26"/>
  <c r="I52" i="26"/>
  <c r="H52" i="26"/>
  <c r="L51" i="26"/>
  <c r="K51" i="26"/>
  <c r="J51" i="26"/>
  <c r="I51" i="26"/>
  <c r="H51" i="26"/>
  <c r="L50" i="26"/>
  <c r="K50" i="26"/>
  <c r="J50" i="26"/>
  <c r="I50" i="26"/>
  <c r="H50" i="26"/>
  <c r="L49" i="26"/>
  <c r="K49" i="26"/>
  <c r="J49" i="26"/>
  <c r="I49" i="26"/>
  <c r="H49" i="26"/>
  <c r="L48" i="26"/>
  <c r="K48" i="26"/>
  <c r="J48" i="26"/>
  <c r="I48" i="26"/>
  <c r="H48" i="26"/>
  <c r="L47" i="26"/>
  <c r="K47" i="26"/>
  <c r="J47" i="26"/>
  <c r="I47" i="26"/>
  <c r="H47" i="26"/>
  <c r="L46" i="26"/>
  <c r="K46" i="26"/>
  <c r="J46" i="26"/>
  <c r="I46" i="26"/>
  <c r="H46" i="26"/>
  <c r="L45" i="26"/>
  <c r="K45" i="26"/>
  <c r="J45" i="26"/>
  <c r="I45" i="26"/>
  <c r="H45" i="26"/>
  <c r="L44" i="26"/>
  <c r="K44" i="26"/>
  <c r="J44" i="26"/>
  <c r="I44" i="26"/>
  <c r="H44" i="26"/>
  <c r="L43" i="26"/>
  <c r="K43" i="26"/>
  <c r="J43" i="26"/>
  <c r="I43" i="26"/>
  <c r="H43" i="26"/>
  <c r="L42" i="26"/>
  <c r="K42" i="26"/>
  <c r="J42" i="26"/>
  <c r="I42" i="26"/>
  <c r="H42" i="26"/>
  <c r="L41" i="26"/>
  <c r="K41" i="26"/>
  <c r="J41" i="26"/>
  <c r="I41" i="26"/>
  <c r="H41" i="26"/>
  <c r="L40" i="26"/>
  <c r="K40" i="26"/>
  <c r="J40" i="26"/>
  <c r="I40" i="26"/>
  <c r="H40" i="26"/>
  <c r="L39" i="26"/>
  <c r="K39" i="26"/>
  <c r="J39" i="26"/>
  <c r="I39" i="26"/>
  <c r="H39" i="26"/>
  <c r="L38" i="26"/>
  <c r="K38" i="26"/>
  <c r="J38" i="26"/>
  <c r="I38" i="26"/>
  <c r="H38" i="26"/>
  <c r="L37" i="26"/>
  <c r="K37" i="26"/>
  <c r="J37" i="26"/>
  <c r="I37" i="26"/>
  <c r="H37" i="26"/>
  <c r="L36" i="26"/>
  <c r="K36" i="26"/>
  <c r="J36" i="26"/>
  <c r="I36" i="26"/>
  <c r="H36" i="26"/>
  <c r="L35" i="26"/>
  <c r="K35" i="26"/>
  <c r="J35" i="26"/>
  <c r="I35" i="26"/>
  <c r="H35" i="26"/>
  <c r="L34" i="26"/>
  <c r="K34" i="26"/>
  <c r="J34" i="26"/>
  <c r="I34" i="26"/>
  <c r="H34" i="26"/>
  <c r="L33" i="26"/>
  <c r="K33" i="26"/>
  <c r="J33" i="26"/>
  <c r="I33" i="26"/>
  <c r="H33" i="26"/>
  <c r="L32" i="26"/>
  <c r="K32" i="26"/>
  <c r="J32" i="26"/>
  <c r="I32" i="26"/>
  <c r="H32" i="26"/>
  <c r="L31" i="26"/>
  <c r="K31" i="26"/>
  <c r="J31" i="26"/>
  <c r="I31" i="26"/>
  <c r="H31" i="26"/>
  <c r="L30" i="26"/>
  <c r="K30" i="26"/>
  <c r="J30" i="26"/>
  <c r="I30" i="26"/>
  <c r="H30" i="26"/>
  <c r="L29" i="26"/>
  <c r="K29" i="26"/>
  <c r="J29" i="26"/>
  <c r="I29" i="26"/>
  <c r="H29" i="26"/>
  <c r="L28" i="26"/>
  <c r="K28" i="26"/>
  <c r="J28" i="26"/>
  <c r="I28" i="26"/>
  <c r="H28" i="26"/>
  <c r="L27" i="26"/>
  <c r="K27" i="26"/>
  <c r="J27" i="26"/>
  <c r="I27" i="26"/>
  <c r="H27" i="26"/>
  <c r="L26" i="26"/>
  <c r="K26" i="26"/>
  <c r="J26" i="26"/>
  <c r="I26" i="26"/>
  <c r="H26" i="26"/>
  <c r="L25" i="26"/>
  <c r="K25" i="26"/>
  <c r="J25" i="26"/>
  <c r="I25" i="26"/>
  <c r="H25" i="26"/>
  <c r="L24" i="26"/>
  <c r="K24" i="26"/>
  <c r="J24" i="26"/>
  <c r="I24" i="26"/>
  <c r="H24" i="26"/>
  <c r="L23" i="26"/>
  <c r="K23" i="26"/>
  <c r="J23" i="26"/>
  <c r="I23" i="26"/>
  <c r="H23" i="26"/>
  <c r="L22" i="26"/>
  <c r="K22" i="26"/>
  <c r="J22" i="26"/>
  <c r="I22" i="26"/>
  <c r="H22" i="26"/>
  <c r="L21" i="26"/>
  <c r="K21" i="26"/>
  <c r="J21" i="26"/>
  <c r="I21" i="26"/>
  <c r="H21" i="26"/>
  <c r="L20" i="26"/>
  <c r="K20" i="26"/>
  <c r="J20" i="26"/>
  <c r="I20" i="26"/>
  <c r="H20" i="26"/>
  <c r="L19" i="26"/>
  <c r="K19" i="26"/>
  <c r="J19" i="26"/>
  <c r="I19" i="26"/>
  <c r="H19" i="26"/>
  <c r="L18" i="26"/>
  <c r="K18" i="26"/>
  <c r="J18" i="26"/>
  <c r="I18" i="26"/>
  <c r="H18" i="26"/>
  <c r="L17" i="26"/>
  <c r="K17" i="26"/>
  <c r="J17" i="26"/>
  <c r="I17" i="26"/>
  <c r="H17" i="26"/>
  <c r="L16" i="26"/>
  <c r="K16" i="26"/>
  <c r="J16" i="26"/>
  <c r="I16" i="26"/>
  <c r="H16" i="26"/>
  <c r="L15" i="26"/>
  <c r="K15" i="26"/>
  <c r="J15" i="26"/>
  <c r="I15" i="26"/>
  <c r="H15" i="26"/>
  <c r="L14" i="26"/>
  <c r="K14" i="26"/>
  <c r="J14" i="26"/>
  <c r="I14" i="26"/>
  <c r="H14" i="26"/>
  <c r="L13" i="26"/>
  <c r="K13" i="26"/>
  <c r="J13" i="26"/>
  <c r="I13" i="26"/>
  <c r="H13" i="26"/>
  <c r="L12" i="26"/>
  <c r="K12" i="26"/>
  <c r="J12" i="26"/>
  <c r="I12" i="26"/>
  <c r="H12" i="26"/>
  <c r="L11" i="26"/>
  <c r="K11" i="26"/>
  <c r="J11" i="26"/>
  <c r="I11" i="26"/>
  <c r="H11" i="26"/>
  <c r="L10" i="26"/>
  <c r="K10" i="26"/>
  <c r="J10" i="26"/>
  <c r="I10" i="26"/>
  <c r="H10" i="26"/>
  <c r="L9" i="26"/>
  <c r="K9" i="26"/>
  <c r="J9" i="26"/>
  <c r="I9" i="26"/>
  <c r="H9" i="26"/>
  <c r="L8" i="26"/>
  <c r="K8" i="26"/>
  <c r="J8" i="26"/>
  <c r="I8" i="26"/>
  <c r="H8" i="26"/>
  <c r="L7" i="26"/>
  <c r="K7" i="26"/>
  <c r="J7" i="26"/>
  <c r="I7" i="26"/>
  <c r="H7" i="26"/>
  <c r="L6" i="26"/>
  <c r="K6" i="26"/>
  <c r="J6" i="26"/>
  <c r="I6" i="26"/>
  <c r="H6" i="26"/>
  <c r="L5" i="26"/>
  <c r="K5" i="26"/>
  <c r="J5" i="26"/>
  <c r="I5" i="26"/>
  <c r="H5" i="26"/>
  <c r="C80" i="25"/>
  <c r="C79" i="25"/>
  <c r="C78" i="25"/>
  <c r="C77" i="25"/>
  <c r="C76" i="25"/>
  <c r="C75" i="25"/>
  <c r="C74" i="25"/>
  <c r="E165" i="24"/>
  <c r="E164" i="24"/>
  <c r="E162" i="24"/>
  <c r="C162" i="24"/>
  <c r="B104" i="24"/>
  <c r="F95" i="24"/>
  <c r="E95" i="24"/>
  <c r="C95" i="24"/>
  <c r="G90" i="24"/>
  <c r="E97" i="24" s="1"/>
  <c r="G89" i="24"/>
  <c r="F96" i="24" s="1"/>
  <c r="G88" i="24"/>
  <c r="D95" i="24" s="1"/>
  <c r="J63" i="24"/>
  <c r="J62" i="24"/>
  <c r="C62" i="24"/>
  <c r="J61" i="24"/>
  <c r="C61" i="24"/>
  <c r="J60" i="24"/>
  <c r="C60" i="24"/>
  <c r="J59" i="24"/>
  <c r="C59" i="24"/>
  <c r="J58" i="24"/>
  <c r="C58" i="24"/>
  <c r="E54" i="24"/>
  <c r="E53" i="24"/>
  <c r="E52" i="24"/>
  <c r="G32" i="24"/>
  <c r="K31" i="24"/>
  <c r="F31" i="24"/>
  <c r="K30" i="24"/>
  <c r="K29" i="24"/>
  <c r="K28" i="24"/>
  <c r="K27" i="24"/>
  <c r="K26" i="24"/>
  <c r="K25" i="24"/>
  <c r="K24" i="24"/>
  <c r="K23" i="24"/>
  <c r="K22" i="24"/>
  <c r="K21" i="24"/>
  <c r="K20" i="24"/>
  <c r="K19" i="24"/>
  <c r="F12" i="24"/>
  <c r="E12" i="24"/>
  <c r="F11" i="24"/>
  <c r="E11" i="24"/>
  <c r="H12" i="20"/>
  <c r="F97" i="24" l="1"/>
  <c r="G91" i="24"/>
  <c r="H88" i="24" s="1"/>
  <c r="H90" i="24"/>
  <c r="C96" i="24"/>
  <c r="D96" i="24"/>
  <c r="E96" i="24"/>
  <c r="C97" i="24"/>
  <c r="D97" i="24"/>
  <c r="H89" i="24" l="1"/>
  <c r="H55"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C70C66-D2E1-439E-88E5-3CEF42C77946}" keepAlive="1" name="Query - sales_data" description="Connection to the 'sales_data' query in the workbook." type="5" refreshedVersion="0"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<sst xmlns="http://schemas.openxmlformats.org/spreadsheetml/2006/main" count="1979" uniqueCount="604">
  <si>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</si>
  <si>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</si>
  <si>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</si>
  <si>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</si>
  <si>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</si>
  <si>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</si>
  <si>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</si>
  <si>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</si>
  <si>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</si>
  <si>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</si>
  <si>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</si>
  <si>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</si>
  <si>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</si>
  <si>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</si>
  <si>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</si>
  <si>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</si>
  <si>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</si>
  <si>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</si>
  <si>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</si>
  <si>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</si>
  <si>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</si>
  <si>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</si>
  <si>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</si>
  <si>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</si>
  <si>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</si>
  <si>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</si>
  <si>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Trebuchet MS"/>
        <family val="2"/>
        <scheme val="minor"/>
      </rPr>
      <t>Amount</t>
    </r>
    <r>
      <rPr>
        <sz val="11"/>
        <color theme="0"/>
        <rFont val="Trebuchet MS"/>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</si>
  <si>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</si>
  <si>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</si>
  <si>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</si>
  <si>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</si>
  <si>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</si>
  <si>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</si>
  <si>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</si>
  <si>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</si>
  <si>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</si>
  <si>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</si>
  <si>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</si>
  <si>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</si>
  <si>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</si>
  <si>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</si>
  <si>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</si>
  <si>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</si>
  <si>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</si>
  <si>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</si>
  <si>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</si>
  <si>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</si>
  <si>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</si>
  <si>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</si>
  <si>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</si>
  <si>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</si>
  <si>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</si>
  <si>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</si>
  <si>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</si>
  <si>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</si>
  <si>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</si>
  <si>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</si>
  <si>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</si>
  <si>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</si>
  <si>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</si>
  <si>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</si>
  <si>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</si>
  <si>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</si>
  <si>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</si>
  <si>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</si>
  <si>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</si>
  <si>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</si>
  <si>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</si>
  <si>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</si>
  <si>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</si>
  <si>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</si>
  <si>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</si>
  <si>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</si>
  <si>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</si>
  <si>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</si>
  <si>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</si>
  <si>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</si>
  <si>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</si>
  <si>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</si>
  <si>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</si>
  <si>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</si>
  <si>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</si>
  <si>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</si>
  <si>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</si>
  <si>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</si>
  <si>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</si>
  <si>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</si>
  <si>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</si>
  <si>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</si>
  <si>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</si>
  <si>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</si>
  <si>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</si>
  <si>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</si>
  <si>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</si>
  <si>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</si>
  <si>
    <t>Product</t>
  </si>
  <si>
    <t>Price</t>
  </si>
  <si>
    <t>A</t>
  </si>
  <si>
    <t>B</t>
  </si>
  <si>
    <t>Price/Day</t>
  </si>
  <si>
    <t>Day 1</t>
  </si>
  <si>
    <t>Day 2</t>
  </si>
  <si>
    <t>Discount</t>
  </si>
  <si>
    <t>Column9</t>
  </si>
  <si>
    <t>Column10</t>
  </si>
  <si>
    <t>Id</t>
  </si>
  <si>
    <t>F_name</t>
  </si>
  <si>
    <t>S_name</t>
  </si>
  <si>
    <t>Sex</t>
  </si>
  <si>
    <t>DOB</t>
  </si>
  <si>
    <t>Math marks</t>
  </si>
  <si>
    <t>Physics marks</t>
  </si>
  <si>
    <t>Sum</t>
  </si>
  <si>
    <t>Chemistry marks</t>
  </si>
  <si>
    <t>Total</t>
  </si>
  <si>
    <t>F_Name</t>
  </si>
  <si>
    <t>S_Name</t>
  </si>
  <si>
    <t>Maths Marks</t>
  </si>
  <si>
    <t>Physics Marks</t>
  </si>
  <si>
    <t>Chemistry Marks</t>
  </si>
  <si>
    <t>Location</t>
  </si>
  <si>
    <t>Stream</t>
  </si>
  <si>
    <t>P</t>
  </si>
  <si>
    <t>Male</t>
  </si>
  <si>
    <t>Bangalore</t>
  </si>
  <si>
    <t>Biology</t>
  </si>
  <si>
    <t>Female</t>
  </si>
  <si>
    <t>Maths</t>
  </si>
  <si>
    <t>Commerce</t>
  </si>
  <si>
    <t>Day</t>
  </si>
  <si>
    <t>Month</t>
  </si>
  <si>
    <t>Year</t>
  </si>
  <si>
    <t xml:space="preserve">Date </t>
  </si>
  <si>
    <t>Column1</t>
  </si>
  <si>
    <t>india</t>
  </si>
  <si>
    <t>pakistan</t>
  </si>
  <si>
    <t>US</t>
  </si>
  <si>
    <t>china</t>
  </si>
  <si>
    <t>Name</t>
  </si>
  <si>
    <t>Physics</t>
  </si>
  <si>
    <t>C</t>
  </si>
  <si>
    <t>D</t>
  </si>
  <si>
    <t>E</t>
  </si>
  <si>
    <t>F</t>
  </si>
  <si>
    <t>Result</t>
  </si>
  <si>
    <t>Q1</t>
  </si>
  <si>
    <t>Q2</t>
  </si>
  <si>
    <t>Q3</t>
  </si>
  <si>
    <t>Q4</t>
  </si>
  <si>
    <t>Game App</t>
  </si>
  <si>
    <t>Utility App</t>
  </si>
  <si>
    <t>Productivity App</t>
  </si>
  <si>
    <t xml:space="preserve">In this table , what we did is calculated percentage for each cell w.r.t. to it's total value </t>
  </si>
  <si>
    <t xml:space="preserve">cell modes = ready, enter, point, edit </t>
  </si>
  <si>
    <t>Channel</t>
  </si>
  <si>
    <t>Sales Value</t>
  </si>
  <si>
    <t>Website</t>
  </si>
  <si>
    <t>Shirt blue</t>
  </si>
  <si>
    <t>Store</t>
  </si>
  <si>
    <t>Shirt white</t>
  </si>
  <si>
    <t>Affiliate site</t>
  </si>
  <si>
    <t>Pants Blue</t>
  </si>
  <si>
    <t>Shirt yellow</t>
  </si>
  <si>
    <t>12/20/2017</t>
  </si>
  <si>
    <t>Pants Black</t>
  </si>
  <si>
    <t>to get only products which have the name "shirt" in them go to PRODUCTS , filter it by writing *shirt*</t>
  </si>
  <si>
    <t xml:space="preserve">        </t>
  </si>
  <si>
    <t>using SUM function</t>
  </si>
  <si>
    <t>using SUBTOTAL function = now here sales value is filtered so subtotal will only give sum of the values present on the screen but SUM will give the sum of all values in the table even if it's hidden.</t>
  </si>
  <si>
    <t xml:space="preserve"> </t>
  </si>
  <si>
    <t>Advanced Filter</t>
  </si>
  <si>
    <t>&gt;300</t>
  </si>
  <si>
    <t>SORT BASICS</t>
  </si>
  <si>
    <t>Division</t>
  </si>
  <si>
    <t>Region</t>
  </si>
  <si>
    <t>Apps</t>
  </si>
  <si>
    <t>Revenue</t>
  </si>
  <si>
    <t>Utility</t>
  </si>
  <si>
    <t>North America</t>
  </si>
  <si>
    <t>Accord</t>
  </si>
  <si>
    <t>Asia</t>
  </si>
  <si>
    <t>Misty Wash</t>
  </si>
  <si>
    <t>Productivity</t>
  </si>
  <si>
    <t>WenCaL</t>
  </si>
  <si>
    <t>Sleops</t>
  </si>
  <si>
    <t>Blend</t>
  </si>
  <si>
    <t>Twenty20</t>
  </si>
  <si>
    <t>Europe</t>
  </si>
  <si>
    <t>Australia</t>
  </si>
  <si>
    <t>South America</t>
  </si>
  <si>
    <t>Game</t>
  </si>
  <si>
    <t>Hackrr</t>
  </si>
  <si>
    <t>Fightrr</t>
  </si>
  <si>
    <t>Kryptis</t>
  </si>
  <si>
    <t>Perino</t>
  </si>
  <si>
    <t>Names</t>
  </si>
  <si>
    <t>OS</t>
  </si>
  <si>
    <t>TAFL</t>
  </si>
  <si>
    <t>Java</t>
  </si>
  <si>
    <t>Cyber</t>
  </si>
  <si>
    <t>TC</t>
  </si>
  <si>
    <t>%</t>
  </si>
  <si>
    <t>Pass/Fail</t>
  </si>
  <si>
    <t>Grade</t>
  </si>
  <si>
    <t>Riyan Verma</t>
  </si>
  <si>
    <t>Kavya Singh</t>
  </si>
  <si>
    <t>Dev Patel</t>
  </si>
  <si>
    <t>Myra Sethi</t>
  </si>
  <si>
    <t>Arya Gupta</t>
  </si>
  <si>
    <t>Vihaan Mehta</t>
  </si>
  <si>
    <t>Siya Kapoor</t>
  </si>
  <si>
    <t>Aditya Jain</t>
  </si>
  <si>
    <t>Anaya Roy</t>
  </si>
  <si>
    <t>Krish Malhotra</t>
  </si>
  <si>
    <t>Ishita Sharma</t>
  </si>
  <si>
    <t>Arjun Nair</t>
  </si>
  <si>
    <t>Meera Joshi</t>
  </si>
  <si>
    <t>Yash Thakur</t>
  </si>
  <si>
    <t>Riddhi Shah</t>
  </si>
  <si>
    <t>Dhruv Sinha</t>
  </si>
  <si>
    <t>Pari Bansal</t>
  </si>
  <si>
    <t>Kunal Arora</t>
  </si>
  <si>
    <t>Tanvi Desai</t>
  </si>
  <si>
    <t>Laksh Goel</t>
  </si>
  <si>
    <t>Aanya Khanna</t>
  </si>
  <si>
    <t>Manav Choudhary</t>
  </si>
  <si>
    <t>Sneha Iyer</t>
  </si>
  <si>
    <t>Harsh Vaidya</t>
  </si>
  <si>
    <t>Diya Rastogi</t>
  </si>
  <si>
    <t>Rudra Bose</t>
  </si>
  <si>
    <t>Kiara Oberoi</t>
  </si>
  <si>
    <t>Reyansh Kulkarni</t>
  </si>
  <si>
    <t>Samar Tiwari</t>
  </si>
  <si>
    <t>Avni Kohli</t>
  </si>
  <si>
    <t>Vedant Rao</t>
  </si>
  <si>
    <t>Ira Mukherjee</t>
  </si>
  <si>
    <t>Nikhil Anand</t>
  </si>
  <si>
    <t>Sara Pillai</t>
  </si>
  <si>
    <t>Om Prakash</t>
  </si>
  <si>
    <t>Pihu Chawla</t>
  </si>
  <si>
    <t>Atharv Dubey</t>
  </si>
  <si>
    <t>Shanaya Gill</t>
  </si>
  <si>
    <t>Vivaan Saxena</t>
  </si>
  <si>
    <t>Anika Fernandes</t>
  </si>
  <si>
    <t>Kartik Yadav</t>
  </si>
  <si>
    <t>Trisha Banerjee</t>
  </si>
  <si>
    <t>Neil Srivastava</t>
  </si>
  <si>
    <t>Rhea Malviya</t>
  </si>
  <si>
    <t>Pranav Kulshrestha</t>
  </si>
  <si>
    <t>Alina Sheikh</t>
  </si>
  <si>
    <t>Abeer Khan</t>
  </si>
  <si>
    <t>Tanish Batra</t>
  </si>
  <si>
    <t>FUNCTIONS</t>
  </si>
  <si>
    <t>Department</t>
  </si>
  <si>
    <t>Salary</t>
  </si>
  <si>
    <t>Gary Miller</t>
  </si>
  <si>
    <t>Finance</t>
  </si>
  <si>
    <t>James Willard</t>
  </si>
  <si>
    <t>Sales</t>
  </si>
  <si>
    <t>Richard Elliot</t>
  </si>
  <si>
    <t>Robert Spear</t>
  </si>
  <si>
    <t>Romina Mun</t>
  </si>
  <si>
    <t>Paula Garza</t>
  </si>
  <si>
    <t>Robert Marquez</t>
  </si>
  <si>
    <t>Natalie Porter</t>
  </si>
  <si>
    <t>Procurement</t>
  </si>
  <si>
    <t>sum</t>
  </si>
  <si>
    <t>average</t>
  </si>
  <si>
    <t>count salary</t>
  </si>
  <si>
    <t>count names</t>
  </si>
  <si>
    <t xml:space="preserve"> count only integers</t>
  </si>
  <si>
    <t>count both text and integer irrespective of type</t>
  </si>
  <si>
    <t>min</t>
  </si>
  <si>
    <t>max</t>
  </si>
  <si>
    <t>average salary of people in sales only</t>
  </si>
  <si>
    <t>Highest Marks</t>
  </si>
  <si>
    <t>Average</t>
  </si>
  <si>
    <t>Rank</t>
  </si>
  <si>
    <t>STUDENT PERFORMANCE DASHBOARD</t>
  </si>
  <si>
    <t>Performance</t>
  </si>
  <si>
    <t>Payment Method</t>
  </si>
  <si>
    <t>Category</t>
  </si>
  <si>
    <t>Amount spend</t>
  </si>
  <si>
    <t>Groceries</t>
  </si>
  <si>
    <t>UPI</t>
  </si>
  <si>
    <t>Movie Ticket</t>
  </si>
  <si>
    <t>Credit Card</t>
  </si>
  <si>
    <t>Entertainment</t>
  </si>
  <si>
    <t>Petrol</t>
  </si>
  <si>
    <t>Cash</t>
  </si>
  <si>
    <t>Transport</t>
  </si>
  <si>
    <t>Pizza</t>
  </si>
  <si>
    <t>Notebook</t>
  </si>
  <si>
    <t>Education</t>
  </si>
  <si>
    <t>Mobile Recharge</t>
  </si>
  <si>
    <t>Utilities</t>
  </si>
  <si>
    <t>Shoes</t>
  </si>
  <si>
    <t>Debit Card</t>
  </si>
  <si>
    <t>Shopping</t>
  </si>
  <si>
    <t>Coffee</t>
  </si>
  <si>
    <t>Uber Ride</t>
  </si>
  <si>
    <t>Headphones</t>
  </si>
  <si>
    <t>Electronics</t>
  </si>
  <si>
    <t>Gym Fee</t>
  </si>
  <si>
    <t>Fitness</t>
  </si>
  <si>
    <t>Burger Meal</t>
  </si>
  <si>
    <t>T-shirt</t>
  </si>
  <si>
    <t>Electricity Bill</t>
  </si>
  <si>
    <t>Net Banking</t>
  </si>
  <si>
    <t>Pen Drive</t>
  </si>
  <si>
    <t>Ice Cream</t>
  </si>
  <si>
    <t>Train Ticket</t>
  </si>
  <si>
    <t>Travel</t>
  </si>
  <si>
    <t>Protein Shake</t>
  </si>
  <si>
    <t>Netflix Subscription</t>
  </si>
  <si>
    <t>Water Bottle</t>
  </si>
  <si>
    <t>Laptop Mouse</t>
  </si>
  <si>
    <t>Sandwich</t>
  </si>
  <si>
    <t>Bus Pass</t>
  </si>
  <si>
    <t>Book</t>
  </si>
  <si>
    <t>Shampoo</t>
  </si>
  <si>
    <t>Personal Care</t>
  </si>
  <si>
    <t>Smart Watch Strap</t>
  </si>
  <si>
    <t>Accessories</t>
  </si>
  <si>
    <t>Data Cable</t>
  </si>
  <si>
    <t>Biryani</t>
  </si>
  <si>
    <t>Cricket Bat Grip</t>
  </si>
  <si>
    <t>Face Wash</t>
  </si>
  <si>
    <t>Items</t>
  </si>
  <si>
    <t>Average Expense</t>
  </si>
  <si>
    <t>Highest Expense</t>
  </si>
  <si>
    <t>Lowest Expense</t>
  </si>
  <si>
    <t>Total Expense</t>
  </si>
  <si>
    <t>SUMMARY TABLE</t>
  </si>
  <si>
    <t>Aarav Jain</t>
  </si>
  <si>
    <t>Rohan Singhal</t>
  </si>
  <si>
    <t>Total Savings</t>
  </si>
  <si>
    <t>Most used payment method</t>
  </si>
  <si>
    <t>Budget remaining</t>
  </si>
  <si>
    <t>Values</t>
  </si>
  <si>
    <t>Parameters</t>
  </si>
  <si>
    <t>Income</t>
  </si>
  <si>
    <t>Budget Limit</t>
  </si>
  <si>
    <t>CATEGORY ANALYSIS TABLE</t>
  </si>
  <si>
    <t>Total Spend</t>
  </si>
  <si>
    <t>PERSONAL EXPENSE TRACKER DASHBOARD</t>
  </si>
  <si>
    <t>DATA VALIDATION BASICS</t>
  </si>
  <si>
    <t>Column2</t>
  </si>
  <si>
    <t>division</t>
  </si>
  <si>
    <t>project start date</t>
  </si>
  <si>
    <t>project number</t>
  </si>
  <si>
    <t>company code</t>
  </si>
  <si>
    <t>project description</t>
  </si>
  <si>
    <t>aaaaa</t>
  </si>
  <si>
    <t>fjefhvndnejfnejnfjefjenfjenfjenfjefn</t>
  </si>
  <si>
    <t>App</t>
  </si>
  <si>
    <t>Sales Values</t>
  </si>
  <si>
    <t>Actual</t>
  </si>
  <si>
    <t>Budget</t>
  </si>
  <si>
    <t>% Change</t>
  </si>
  <si>
    <t>Voltage</t>
  </si>
  <si>
    <t>Inkly</t>
  </si>
  <si>
    <t>Kind Ape</t>
  </si>
  <si>
    <t>Pet Feed</t>
  </si>
  <si>
    <t>Right App</t>
  </si>
  <si>
    <t>Mirrrr</t>
  </si>
  <si>
    <t>Halotot</t>
  </si>
  <si>
    <t>Flowrrr</t>
  </si>
  <si>
    <t>Silvrr</t>
  </si>
  <si>
    <t>Sales Agent</t>
  </si>
  <si>
    <t>Quantity</t>
  </si>
  <si>
    <t>Customer</t>
  </si>
  <si>
    <t>Agent A</t>
  </si>
  <si>
    <t>Customer A</t>
  </si>
  <si>
    <t>Agent B</t>
  </si>
  <si>
    <t>Customer B</t>
  </si>
  <si>
    <t>Agent C</t>
  </si>
  <si>
    <t>Customer C</t>
  </si>
  <si>
    <t>Agent D</t>
  </si>
  <si>
    <t>Customer D</t>
  </si>
  <si>
    <t>Agent E</t>
  </si>
  <si>
    <t>Customer E</t>
  </si>
  <si>
    <t>Agent F</t>
  </si>
  <si>
    <t>Customer F</t>
  </si>
  <si>
    <t>Agent G</t>
  </si>
  <si>
    <t>Customer G</t>
  </si>
  <si>
    <t>Agent H</t>
  </si>
  <si>
    <t>Customer H</t>
  </si>
  <si>
    <t>Agent I</t>
  </si>
  <si>
    <t>Customer I</t>
  </si>
  <si>
    <t>Agent J</t>
  </si>
  <si>
    <t>Customer J</t>
  </si>
  <si>
    <t>Agent K</t>
  </si>
  <si>
    <t>Customer K</t>
  </si>
  <si>
    <t>Agent L</t>
  </si>
  <si>
    <t>Customer L</t>
  </si>
  <si>
    <t>Agent M</t>
  </si>
  <si>
    <t>Customer M</t>
  </si>
  <si>
    <t>Agent N</t>
  </si>
  <si>
    <t>Customer N</t>
  </si>
  <si>
    <t>Agent O</t>
  </si>
  <si>
    <t>Customer O</t>
  </si>
  <si>
    <t>Agent P</t>
  </si>
  <si>
    <t>Customer P</t>
  </si>
  <si>
    <t>Agent Q</t>
  </si>
  <si>
    <t>Customer Q</t>
  </si>
  <si>
    <t>Agent R</t>
  </si>
  <si>
    <t>Customer R</t>
  </si>
  <si>
    <t>Agent S</t>
  </si>
  <si>
    <t>Customer S</t>
  </si>
  <si>
    <t>Agent T</t>
  </si>
  <si>
    <t>Customer T</t>
  </si>
  <si>
    <t>Agent U</t>
  </si>
  <si>
    <t>Customer U</t>
  </si>
  <si>
    <t>Agent V</t>
  </si>
  <si>
    <t>Customer V</t>
  </si>
  <si>
    <t>Agent W</t>
  </si>
  <si>
    <t>Customer W</t>
  </si>
  <si>
    <t>Agent X</t>
  </si>
  <si>
    <t>Customer X</t>
  </si>
  <si>
    <t>Agent Y</t>
  </si>
  <si>
    <t>Customer Y</t>
  </si>
  <si>
    <t>Agent Z</t>
  </si>
  <si>
    <t>Customer Z</t>
  </si>
  <si>
    <t>Phone Number</t>
  </si>
  <si>
    <t>Profession</t>
  </si>
  <si>
    <t>Moltisanti</t>
  </si>
  <si>
    <t>(312) 456 7890</t>
  </si>
  <si>
    <t>Director of Debugging</t>
  </si>
  <si>
    <t>Delfino</t>
  </si>
  <si>
    <t>(213) 321 6543</t>
  </si>
  <si>
    <t>Pixel Pusher</t>
  </si>
  <si>
    <t>Cooper</t>
  </si>
  <si>
    <t>(415) 800 1234</t>
  </si>
  <si>
    <t>Head of Procrastination</t>
  </si>
  <si>
    <t>West</t>
  </si>
  <si>
    <t>(720) 446 7899</t>
  </si>
  <si>
    <t>Head of Mouse Operations</t>
  </si>
  <si>
    <t>Sid</t>
  </si>
  <si>
    <t>(602) 803 5566</t>
  </si>
  <si>
    <t>Keyboard Manager</t>
  </si>
  <si>
    <t>Peppone</t>
  </si>
  <si>
    <t>(504) 992 0512</t>
  </si>
  <si>
    <t>Code Wizard</t>
  </si>
  <si>
    <t>Uhura</t>
  </si>
  <si>
    <t>(206) 900 9988</t>
  </si>
  <si>
    <t>Manager of Mischief</t>
  </si>
  <si>
    <t>Customer Profession</t>
  </si>
  <si>
    <t>Employee</t>
  </si>
  <si>
    <t>Role</t>
  </si>
  <si>
    <t>Experience (Years)</t>
  </si>
  <si>
    <t>Ariana</t>
  </si>
  <si>
    <t>Analytics</t>
  </si>
  <si>
    <t>Data Visualization Specialist</t>
  </si>
  <si>
    <t>Hyderabad</t>
  </si>
  <si>
    <t>Marcus</t>
  </si>
  <si>
    <t>Cloud</t>
  </si>
  <si>
    <t>Cloud Operations Manager</t>
  </si>
  <si>
    <t>Bengaluru</t>
  </si>
  <si>
    <t>Elena</t>
  </si>
  <si>
    <t>AI</t>
  </si>
  <si>
    <t>AI Research Assistant</t>
  </si>
  <si>
    <t>Pune</t>
  </si>
  <si>
    <t>Daniel</t>
  </si>
  <si>
    <t>Development</t>
  </si>
  <si>
    <t>Frontend Developer</t>
  </si>
  <si>
    <t>Sophia</t>
  </si>
  <si>
    <t>Cybersecurity</t>
  </si>
  <si>
    <t>Security Analyst</t>
  </si>
  <si>
    <t>Mumbai</t>
  </si>
  <si>
    <t>Liam</t>
  </si>
  <si>
    <t>Data Science</t>
  </si>
  <si>
    <t>Machine Learning Engineer</t>
  </si>
  <si>
    <t>Olivia</t>
  </si>
  <si>
    <t>HR</t>
  </si>
  <si>
    <t>Recruitment Specialist</t>
  </si>
  <si>
    <t>Noah</t>
  </si>
  <si>
    <t>Financial Analyst</t>
  </si>
  <si>
    <t>Delhi</t>
  </si>
  <si>
    <t>Emma</t>
  </si>
  <si>
    <t>Marketing</t>
  </si>
  <si>
    <t>Digital Marketing Manager</t>
  </si>
  <si>
    <t>James</t>
  </si>
  <si>
    <t>Support</t>
  </si>
  <si>
    <t>Technical Support Engineer</t>
  </si>
  <si>
    <t>Chennai</t>
  </si>
  <si>
    <t>Department Role</t>
  </si>
  <si>
    <t>Score</t>
  </si>
  <si>
    <t>here , TRUE is used because there's no exact value for each score there's a range …so FALSE will not be used as it's used when there's an exact match of a value is given.</t>
  </si>
  <si>
    <t>XLOOKUP ()</t>
  </si>
  <si>
    <t>Yearly Salary</t>
  </si>
  <si>
    <t>Roger Mun</t>
  </si>
  <si>
    <t>Paul Garza</t>
  </si>
  <si>
    <t>Kim West</t>
  </si>
  <si>
    <t>Stevie Bridge</t>
  </si>
  <si>
    <t>Andre Cooper</t>
  </si>
  <si>
    <t>Paul Wells</t>
  </si>
  <si>
    <t>Robert Musser</t>
  </si>
  <si>
    <t>Daniel Garrett</t>
  </si>
  <si>
    <t>Ann Withers</t>
  </si>
  <si>
    <t>Paul Hill</t>
  </si>
  <si>
    <t>Corinna Schmidt</t>
  </si>
  <si>
    <t>Ewan Thompson</t>
  </si>
  <si>
    <t>Master Vertical</t>
  </si>
  <si>
    <t>EmployeeID</t>
  </si>
  <si>
    <t>Bonus %</t>
  </si>
  <si>
    <t>Employee Name</t>
  </si>
  <si>
    <t>ID7</t>
  </si>
  <si>
    <t>ID20</t>
  </si>
  <si>
    <t>ID25</t>
  </si>
  <si>
    <t>ID26</t>
  </si>
  <si>
    <t>Robert Richardson</t>
  </si>
  <si>
    <t>ID21</t>
  </si>
  <si>
    <t>Maria Tot</t>
  </si>
  <si>
    <t>ID4</t>
  </si>
  <si>
    <t>ID10</t>
  </si>
  <si>
    <t>Brigitte Bond</t>
  </si>
  <si>
    <t>ID8</t>
  </si>
  <si>
    <t>ID9</t>
  </si>
  <si>
    <t>Peter Ramsy</t>
  </si>
  <si>
    <t>ID1</t>
  </si>
  <si>
    <t>Crystal Doyle</t>
  </si>
  <si>
    <t>ID11</t>
  </si>
  <si>
    <t>Dan Ziegler</t>
  </si>
  <si>
    <t>ID16</t>
  </si>
  <si>
    <t>ID29</t>
  </si>
  <si>
    <t>ID27</t>
  </si>
  <si>
    <t>Mike Saban</t>
  </si>
  <si>
    <t>ID15</t>
  </si>
  <si>
    <t>Betina Bauer</t>
  </si>
  <si>
    <t>ID12</t>
  </si>
  <si>
    <t>ID19</t>
  </si>
  <si>
    <t>ID24</t>
  </si>
  <si>
    <t>ID3</t>
  </si>
  <si>
    <t>ID14</t>
  </si>
  <si>
    <t>ID22</t>
  </si>
  <si>
    <t>ID13</t>
  </si>
  <si>
    <t>ID5</t>
  </si>
  <si>
    <t>Walter Miller</t>
  </si>
  <si>
    <t>ID17</t>
  </si>
  <si>
    <t>Wolfgang Ramjac</t>
  </si>
  <si>
    <t>ID31</t>
  </si>
  <si>
    <t>Lukas Hofer</t>
  </si>
  <si>
    <t>Max Bonus</t>
  </si>
  <si>
    <t>Now , if we want to find a wildcard name i.e. if we have just the surname of a person and we wanna know his full name then =&gt;</t>
  </si>
  <si>
    <t xml:space="preserve">2-Way Lookup </t>
  </si>
  <si>
    <t>Max bonus</t>
  </si>
  <si>
    <t>Max Payment</t>
  </si>
  <si>
    <t>-</t>
  </si>
  <si>
    <t>INDEX+MATCH</t>
  </si>
  <si>
    <t>Profit</t>
  </si>
  <si>
    <t>Fighttrr</t>
  </si>
  <si>
    <t>Select App:</t>
  </si>
  <si>
    <t>now here , VLOOKUP won't work bcz for that the apps column needs to be on left side and division column on right side of apps hence , index+match is good here.</t>
  </si>
  <si>
    <t xml:space="preserve">Select App : </t>
  </si>
  <si>
    <t>PROPER() =&gt; capitalizes first letter of the word</t>
  </si>
  <si>
    <t>TRIM() =&gt; removes extra spaces before and after text and multiple spaces between words</t>
  </si>
  <si>
    <t>NovaBuds Pro</t>
  </si>
  <si>
    <t>VoltEdge Mouse</t>
  </si>
  <si>
    <t>PixelView Monitor</t>
  </si>
  <si>
    <t>Mistify Air Purifier</t>
  </si>
  <si>
    <t>GlowNest Lamp</t>
  </si>
  <si>
    <t>ZenBrew Coffee Maker</t>
  </si>
  <si>
    <t>ShadowStrike Headset</t>
  </si>
  <si>
    <t>NovaPlay Controller</t>
  </si>
  <si>
    <t>TitanGaming Chair</t>
  </si>
  <si>
    <t>FlexiDesk Pro</t>
  </si>
  <si>
    <t>CloudNote Smart Notebook</t>
  </si>
  <si>
    <t>UltraDock Hub</t>
  </si>
  <si>
    <t>AeroFit Smartwatch</t>
  </si>
  <si>
    <t>PulseTrack Band</t>
  </si>
  <si>
    <t>MotionFlex Yoga Mat</t>
  </si>
  <si>
    <t>Order ID</t>
  </si>
  <si>
    <t>Unit_Price</t>
  </si>
  <si>
    <t>Bob</t>
  </si>
  <si>
    <t>North</t>
  </si>
  <si>
    <t>Furniture</t>
  </si>
  <si>
    <t>Online</t>
  </si>
  <si>
    <t>Retail</t>
  </si>
  <si>
    <t>David</t>
  </si>
  <si>
    <t>South</t>
  </si>
  <si>
    <t>Bank Transfer</t>
  </si>
  <si>
    <t>Clothing</t>
  </si>
  <si>
    <t>Charlie</t>
  </si>
  <si>
    <t>East</t>
  </si>
  <si>
    <t>Eve</t>
  </si>
  <si>
    <t>Alice</t>
  </si>
  <si>
    <t>Sales Amount</t>
  </si>
  <si>
    <t>Sales Channel</t>
  </si>
  <si>
    <t>Profit Margin</t>
  </si>
  <si>
    <t>Sales Rep</t>
  </si>
  <si>
    <t>Jan</t>
  </si>
  <si>
    <t>Feb</t>
  </si>
  <si>
    <t>Mar</t>
  </si>
  <si>
    <t>Apr</t>
  </si>
  <si>
    <t>May</t>
  </si>
  <si>
    <t>Jun</t>
  </si>
  <si>
    <t>Jul</t>
  </si>
  <si>
    <t>Aug</t>
  </si>
  <si>
    <t>Sep</t>
  </si>
  <si>
    <t>Oct</t>
  </si>
  <si>
    <t>Nov</t>
  </si>
  <si>
    <t>Dec</t>
  </si>
  <si>
    <t>Sum of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</si>
</sst>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_);\(&quot;$&quot;#,##0\)"/>
    <numFmt numFmtId="165" formatCode="_(&quot;$&quot;* #,##0.00_);_(&quot;$&quot;* \(#,##0.00\);_(&quot;$&quot;* &quot;-&quot;??_);_(@_)"/>
    <numFmt numFmtId="166" formatCode="dd\-mmm"/>
    <numFmt numFmtId="167" formatCode="&quot;$&quot;#,##0"/>
    <numFmt numFmtId="168" formatCode="[$-14009]dd/mm/yy;@"/>
    <numFmt numFmtId="169" formatCode="[$-F800]dddd\,\ mmmm\ dd\,\ yyyy"/>
    <numFmt numFmtId="170" formatCode="[$-14009]dd/mm/yyyy;@"/>
    <numFmt numFmtId="171" formatCode="_ [$₹-4009]\ * #,##0.00_ ;_ [$₹-4009]\ * \-#,##0.00_ ;_ [$₹-4009]\ * &quot;-&quot;??_ ;_ @_ "/>
    <numFmt numFmtId="177" formatCode="0.0%"/>
    <numFmt numFmtId="180" formatCode="&quot;₹&quot;\ #,##0.00"/>
  </numFmts>
  <fonts count="48" x14ac:knownFonts="1">
    <font>
      <sz val="11"/>
      <color theme="1"/>
      <name val="Calibri"/>
      <family val="2"/>
    </font>
    <font>
      <sz val="11"/>
      <color theme="1"/>
      <name val="Trebuchet MS"/>
      <family val="2"/>
      <scheme val="minor"/>
    </font>
    <font>
      <sz val="11"/>
      <color theme="1"/>
      <name val="Trebuchet MS"/>
      <family val="2"/>
      <scheme val="minor"/>
    </font>
    <font>
      <sz val="11"/>
      <color theme="1"/>
      <name val="Trebuchet MS"/>
      <family val="2"/>
      <scheme val="minor"/>
    </font>
    <font>
      <sz val="11"/>
      <color rgb="FF0B744D"/>
      <name val="Trebuchet MS"/>
      <family val="2"/>
      <scheme val="minor"/>
    </font>
    <font>
      <sz val="11"/>
      <color theme="1"/>
      <name val="Trebuchet MS"/>
      <family val="2"/>
      <scheme val="minor"/>
    </font>
    <font>
      <sz val="42"/>
      <color theme="0"/>
      <name val="Segoe UI"/>
      <family val="2"/>
    </font>
    <font>
      <sz val="17"/>
      <color theme="0"/>
      <name val="Trebuchet MS"/>
      <family val="2"/>
      <scheme val="minor"/>
    </font>
    <font>
      <sz val="11"/>
      <color theme="0"/>
      <name val="Trebuchet MS"/>
      <family val="2"/>
      <scheme val="minor"/>
    </font>
    <font>
      <b/>
      <sz val="11"/>
      <color theme="0"/>
      <name val="Trebuchet MS"/>
      <family val="2"/>
      <scheme val="minor"/>
    </font>
    <font>
      <i/>
      <sz val="11"/>
      <color theme="0"/>
      <name val="Trebuchet MS"/>
      <family val="2"/>
      <scheme val="minor"/>
    </font>
    <font>
      <sz val="11"/>
      <name val="Trebuchet MS"/>
      <family val="2"/>
      <scheme val="minor"/>
    </font>
    <font>
      <sz val="12"/>
      <color theme="1"/>
      <name val="Segoe UI"/>
      <family val="2"/>
    </font>
    <font>
      <sz val="24"/>
      <color theme="1"/>
      <name val="Segoe UI"/>
      <family val="2"/>
    </font>
    <font>
      <sz val="18"/>
      <color theme="3"/>
      <name val="Trebuchet MS"/>
      <family val="2"/>
      <scheme val="major"/>
    </font>
    <font>
      <b/>
      <sz val="15"/>
      <color theme="3"/>
      <name val="Trebuchet MS"/>
      <family val="2"/>
      <scheme val="minor"/>
    </font>
    <font>
      <b/>
      <sz val="13"/>
      <color theme="3"/>
      <name val="Trebuchet MS"/>
      <family val="2"/>
      <scheme val="minor"/>
    </font>
    <font>
      <sz val="11"/>
      <color rgb="FF0B744D"/>
      <name val="Trebuchet MS"/>
      <family val="2"/>
      <scheme val="minor"/>
    </font>
    <font>
      <sz val="11"/>
      <color theme="1"/>
      <name val="Trebuchet MS"/>
      <family val="2"/>
      <scheme val="minor"/>
    </font>
    <font>
      <sz val="17"/>
      <color theme="0"/>
      <name val="Trebuchet MS"/>
      <family val="2"/>
      <scheme val="minor"/>
    </font>
    <font>
      <b/>
      <i/>
      <sz val="11"/>
      <color rgb="FF7030A0"/>
      <name val="Calibri"/>
      <family val="2"/>
    </font>
    <font>
      <b/>
      <i/>
      <sz val="14"/>
      <color rgb="FF0070C0"/>
      <name val="Calibri"/>
      <family val="2"/>
    </font>
    <font>
      <sz val="11"/>
      <color theme="1"/>
      <name val="Calibri"/>
      <family val="2"/>
    </font>
    <font>
      <sz val="11"/>
      <color theme="1"/>
      <name val="Trebuchet MS"/>
      <scheme val="minor"/>
    </font>
    <font>
      <sz val="8"/>
      <name val="Calibri"/>
      <family val="2"/>
    </font>
    <font>
      <b/>
      <i/>
      <sz val="11"/>
      <color theme="1"/>
      <name val="Bahnschrift SemiLight Condensed"/>
      <family val="2"/>
    </font>
    <font>
      <sz val="11"/>
      <color rgb="FF000000"/>
      <name val="Aptos Narrow"/>
      <family val="2"/>
    </font>
    <font>
      <b/>
      <sz val="14"/>
      <color rgb="FFFFFFFF"/>
      <name val="Aptos Narrow"/>
      <family val="2"/>
    </font>
    <font>
      <sz val="14"/>
      <color rgb="FF000000"/>
      <name val="Aptos Narrow"/>
      <family val="2"/>
    </font>
    <font>
      <b/>
      <sz val="11"/>
      <color rgb="FF000000"/>
      <name val="Aptos Narrow"/>
      <family val="2"/>
    </font>
    <font>
      <sz val="11"/>
      <color rgb="FFFF0000"/>
      <name val="Aptos Narrow"/>
      <family val="2"/>
    </font>
    <font>
      <b/>
      <sz val="20"/>
      <color theme="1"/>
      <name val="Calibri"/>
      <family val="2"/>
    </font>
    <font>
      <b/>
      <sz val="14"/>
      <color rgb="FF000000"/>
      <name val="Aptos Narrow"/>
      <family val="2"/>
    </font>
    <font>
      <b/>
      <sz val="11"/>
      <color theme="1"/>
      <name val="Trebuchet MS"/>
      <family val="2"/>
      <scheme val="minor"/>
    </font>
    <font>
      <b/>
      <sz val="16"/>
      <color theme="1"/>
      <name val="Calibri"/>
      <family val="2"/>
    </font>
    <font>
      <sz val="14"/>
      <color theme="1"/>
      <name val="Trebuchet MS"/>
      <family val="2"/>
      <scheme val="minor"/>
    </font>
    <font>
      <b/>
      <sz val="12"/>
      <color theme="1"/>
      <name val="Trebuchet MS"/>
      <family val="2"/>
      <scheme val="minor"/>
    </font>
    <font>
      <b/>
      <sz val="22"/>
      <color theme="1"/>
      <name val="Trebuchet MS"/>
      <family val="2"/>
      <scheme val="minor"/>
    </font>
    <font>
      <sz val="12"/>
      <color theme="1"/>
      <name val="Calibri"/>
      <family val="2"/>
    </font>
    <font>
      <b/>
      <sz val="12"/>
      <color theme="1"/>
      <name val="Calibri"/>
      <family val="2"/>
    </font>
    <font>
      <b/>
      <sz val="11"/>
      <color theme="0"/>
      <name val="Calibri"/>
      <family val="2"/>
    </font>
    <font>
      <b/>
      <sz val="18"/>
      <color theme="1"/>
      <name val="Calibri"/>
      <family val="2"/>
    </font>
    <font>
      <b/>
      <u/>
      <sz val="20"/>
      <color theme="1"/>
      <name val="Calibri"/>
      <family val="2"/>
    </font>
    <font>
      <b/>
      <sz val="14"/>
      <color theme="1"/>
      <name val="Calibri"/>
      <family val="2"/>
    </font>
    <font>
      <b/>
      <sz val="13"/>
      <color rgb="FFFFFFFF"/>
      <name val="Aptos Narrow"/>
      <family val="2"/>
    </font>
    <font>
      <b/>
      <sz val="12"/>
      <color rgb="FF000000"/>
      <name val="Aptos Narrow"/>
      <family val="2"/>
    </font>
    <font>
      <b/>
      <sz val="16"/>
      <color rgb="FF000000"/>
      <name val="Aptos Narrow"/>
      <family val="2"/>
    </font>
    <font>
      <b/>
      <sz val="12"/>
      <color rgb="FFFFFFFF"/>
      <name val="Aptos Narrow"/>
      <family val="2"/>
    </font>
  </fonts>
  <fills count="33">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
      <patternFill patternType="darkGray">
        <fgColor theme="5" tint="-0.24994659260841701"/>
        <bgColor indexed="65"/>
      </patternFill>
    </fill>
    <fill>
      <patternFill patternType="solid">
        <fgColor theme="9" tint="-0.249977111117893"/>
        <bgColor indexed="64"/>
      </patternFill>
    </fill>
    <fill>
      <patternFill patternType="solid">
        <fgColor rgb="FFFFFF00"/>
        <bgColor indexed="64"/>
      </patternFill>
    </fill>
    <fill>
      <patternFill patternType="solid">
        <fgColor theme="5" tint="-0.249977111117893"/>
        <bgColor indexed="64"/>
      </patternFill>
    </fill>
    <fill>
      <patternFill patternType="solid">
        <fgColor rgb="FF1F4E78"/>
        <bgColor rgb="FF000000"/>
      </patternFill>
    </fill>
    <fill>
      <patternFill patternType="solid">
        <fgColor rgb="FFD9D9D9"/>
        <bgColor rgb="FF000000"/>
      </patternFill>
    </fill>
    <fill>
      <patternFill patternType="solid">
        <fgColor theme="4" tint="0.3999755851924192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C0C0C0"/>
        <bgColor indexed="64"/>
      </patternFill>
    </fill>
    <fill>
      <patternFill patternType="solid">
        <fgColor rgb="FF996600"/>
        <bgColor indexed="64"/>
      </patternFill>
    </fill>
    <fill>
      <patternFill patternType="solid">
        <fgColor theme="0"/>
        <bgColor indexed="64"/>
      </patternFill>
    </fill>
    <fill>
      <patternFill patternType="solid">
        <fgColor theme="8" tint="-0.499984740745262"/>
        <bgColor indexed="64"/>
      </patternFill>
    </fill>
    <fill>
      <patternFill patternType="solid">
        <fgColor theme="4" tint="0.79998168889431442"/>
        <bgColor theme="4" tint="0.79998168889431442"/>
      </patternFill>
    </fill>
    <fill>
      <patternFill patternType="solid">
        <fgColor theme="6" tint="0.79998168889431442"/>
        <bgColor theme="6" tint="0.79998168889431442"/>
      </patternFill>
    </fill>
    <fill>
      <patternFill patternType="solid">
        <fgColor theme="3"/>
        <bgColor indexed="64"/>
      </patternFill>
    </fill>
    <fill>
      <patternFill patternType="solid">
        <fgColor theme="0"/>
        <bgColor theme="6" tint="0.79998168889431442"/>
      </patternFill>
    </fill>
    <fill>
      <patternFill patternType="solid">
        <fgColor rgb="FF8DB4E2"/>
        <bgColor rgb="FF000000"/>
      </patternFill>
    </fill>
    <fill>
      <patternFill patternType="solid">
        <fgColor rgb="FF44546A"/>
        <bgColor rgb="FF000000"/>
      </patternFill>
    </fill>
    <fill>
      <patternFill patternType="solid">
        <fgColor rgb="FF3F4E67"/>
        <bgColor rgb="FF000000"/>
      </patternFill>
    </fill>
    <fill>
      <patternFill patternType="solid">
        <fgColor rgb="FFDCE6F1"/>
        <bgColor rgb="FF000000"/>
      </patternFill>
    </fill>
    <fill>
      <patternFill patternType="solid">
        <fgColor theme="2" tint="-9.9978637043366805E-2"/>
        <bgColor indexed="64"/>
      </patternFill>
    </fill>
  </fills>
  <borders count="25">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theme="6"/>
      </bottom>
      <diagonal/>
    </border>
    <border>
      <left style="thin">
        <color theme="6"/>
      </left>
      <right/>
      <top style="thin">
        <color theme="6"/>
      </top>
      <bottom/>
      <diagonal/>
    </border>
    <border>
      <left style="thin">
        <color theme="6"/>
      </left>
      <right style="thin">
        <color theme="6"/>
      </right>
      <top style="thin">
        <color theme="6"/>
      </top>
      <bottom/>
      <diagonal/>
    </border>
    <border>
      <left style="thin">
        <color indexed="64"/>
      </left>
      <right/>
      <top style="medium">
        <color theme="6"/>
      </top>
      <bottom/>
      <diagonal/>
    </border>
    <border>
      <left style="thin">
        <color indexed="64"/>
      </left>
      <right style="thin">
        <color indexed="64"/>
      </right>
      <top style="medium">
        <color theme="6"/>
      </top>
      <bottom/>
      <diagonal/>
    </border>
    <border>
      <left style="thin">
        <color theme="6"/>
      </left>
      <right/>
      <top style="thin">
        <color indexed="64"/>
      </top>
      <bottom/>
      <diagonal/>
    </border>
    <border>
      <left style="thin">
        <color theme="6"/>
      </left>
      <right style="thin">
        <color theme="6"/>
      </right>
      <top style="thin">
        <color indexed="64"/>
      </top>
      <bottom/>
      <diagonal/>
    </border>
    <border>
      <left style="thin">
        <color indexed="64"/>
      </left>
      <right/>
      <top style="thin">
        <color indexed="64"/>
      </top>
      <bottom style="thin">
        <color theme="6"/>
      </bottom>
      <diagonal/>
    </border>
    <border>
      <left/>
      <right/>
      <top/>
      <bottom style="medium">
        <color rgb="FFCCCCCC"/>
      </bottom>
      <diagonal/>
    </border>
  </borders>
  <cellStyleXfs count="16">
    <xf numFmtId="0" fontId="0" fillId="0" borderId="0"/>
    <xf numFmtId="0" fontId="4" fillId="0" borderId="0" applyFill="0" applyBorder="0">
      <alignment wrapText="1"/>
    </xf>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14" fillId="0" borderId="0" applyNumberFormat="0" applyFill="0" applyBorder="0" applyAlignment="0" applyProtection="0"/>
    <xf numFmtId="0" fontId="15" fillId="0" borderId="2" applyNumberFormat="0" applyFill="0" applyAlignment="0" applyProtection="0"/>
    <xf numFmtId="0" fontId="16" fillId="0" borderId="3" applyNumberFormat="0" applyFill="0" applyAlignment="0" applyProtection="0"/>
    <xf numFmtId="164" fontId="22" fillId="0" borderId="0" applyFont="0" applyFill="0" applyBorder="0" applyAlignment="0" applyProtection="0"/>
    <xf numFmtId="166" fontId="11" fillId="0" borderId="0" applyFont="0" applyFill="0" applyBorder="0" applyAlignment="0">
      <alignment horizontal="left"/>
    </xf>
    <xf numFmtId="0" fontId="9" fillId="6" borderId="0" applyNumberFormat="0" applyBorder="0" applyAlignment="0" applyProtection="0"/>
    <xf numFmtId="0" fontId="3" fillId="7" borderId="4" applyNumberFormat="0" applyAlignment="0" applyProtection="0"/>
    <xf numFmtId="0" fontId="22" fillId="4" borderId="5" applyNumberFormat="0" applyFont="0" applyFill="0" applyAlignment="0"/>
    <xf numFmtId="0" fontId="22" fillId="4" borderId="6" applyNumberFormat="0" applyFont="0" applyFill="0" applyAlignment="0"/>
    <xf numFmtId="9" fontId="22" fillId="0" borderId="0" applyFont="0" applyFill="0" applyBorder="0" applyAlignment="0" applyProtection="0"/>
  </cellStyleXfs>
  <cellXfs count="207">
    <xf numFmtId="0" fontId="0" fillId="0" borderId="0" xfId="0"/>
    <xf numFmtId="0" fontId="5" fillId="0" borderId="0" xfId="0" applyFont="1"/>
    <xf numFmtId="0" fontId="8" fillId="0" borderId="0" xfId="5"/>
    <xf numFmtId="0" fontId="5" fillId="4" borderId="1" xfId="0" applyFont="1" applyFill="1" applyBorder="1"/>
    <xf numFmtId="0" fontId="5" fillId="0" borderId="1" xfId="0" applyFont="1" applyBorder="1"/>
    <xf numFmtId="166" fontId="5" fillId="4" borderId="1" xfId="0" applyNumberFormat="1" applyFont="1" applyFill="1" applyBorder="1" applyAlignment="1">
      <alignment horizontal="left"/>
    </xf>
    <xf numFmtId="166" fontId="5" fillId="0" borderId="1" xfId="0" applyNumberFormat="1" applyFont="1" applyBorder="1" applyAlignment="1">
      <alignment horizontal="left"/>
    </xf>
    <xf numFmtId="0" fontId="9" fillId="3" borderId="0" xfId="0" applyFont="1" applyFill="1"/>
    <xf numFmtId="0" fontId="0" fillId="0" borderId="0" xfId="0" pivotButton="1"/>
    <xf numFmtId="167" fontId="0" fillId="0" borderId="0" xfId="0" applyNumberFormat="1"/>
    <xf numFmtId="164" fontId="0" fillId="4" borderId="1" xfId="0" applyNumberFormat="1" applyFill="1" applyBorder="1"/>
    <xf numFmtId="164" fontId="0" fillId="0" borderId="1" xfId="0" applyNumberFormat="1" applyBorder="1"/>
    <xf numFmtId="0" fontId="0" fillId="0" borderId="0" xfId="0" applyAlignment="1">
      <alignment horizontal="left"/>
    </xf>
    <xf numFmtId="16" fontId="0" fillId="0" borderId="0" xfId="0" applyNumberFormat="1"/>
    <xf numFmtId="0" fontId="12" fillId="0" borderId="0" xfId="0" applyFont="1"/>
    <xf numFmtId="0" fontId="13" fillId="0" borderId="0" xfId="0" applyFont="1"/>
    <xf numFmtId="0" fontId="13" fillId="0" borderId="0" xfId="0" applyFont="1" applyAlignment="1">
      <alignment vertical="center"/>
    </xf>
    <xf numFmtId="0" fontId="18" fillId="0" borderId="0" xfId="0" applyFont="1"/>
    <xf numFmtId="0" fontId="19" fillId="2" borderId="0" xfId="3" applyFont="1">
      <alignment horizontal="left" wrapText="1" indent="4"/>
    </xf>
    <xf numFmtId="0" fontId="17" fillId="2" borderId="0" xfId="4" applyFont="1">
      <alignment horizontal="left" wrapText="1" indent="4"/>
    </xf>
    <xf numFmtId="0" fontId="20" fillId="0" borderId="0" xfId="0" applyFont="1"/>
    <xf numFmtId="0" fontId="21" fillId="0" borderId="0" xfId="0" applyFont="1"/>
    <xf numFmtId="164" fontId="0" fillId="4" borderId="1" xfId="9" applyFont="1" applyFill="1" applyBorder="1"/>
    <xf numFmtId="164" fontId="0" fillId="0" borderId="1" xfId="9" applyFont="1" applyBorder="1"/>
    <xf numFmtId="164" fontId="0" fillId="0" borderId="0" xfId="0" applyNumberFormat="1"/>
    <xf numFmtId="166" fontId="5" fillId="4" borderId="1" xfId="10" applyFont="1" applyFill="1" applyBorder="1" applyAlignment="1">
      <alignment horizontal="left"/>
    </xf>
    <xf numFmtId="166" fontId="5" fillId="0" borderId="1" xfId="10" applyFont="1" applyBorder="1" applyAlignment="1">
      <alignment horizontal="left"/>
    </xf>
    <xf numFmtId="0" fontId="4" fillId="2" borderId="0" xfId="1" applyFill="1">
      <alignment wrapText="1"/>
    </xf>
    <xf numFmtId="0" fontId="8" fillId="0" borderId="0" xfId="5" applyAlignment="1">
      <alignment wrapText="1"/>
    </xf>
    <xf numFmtId="0" fontId="0" fillId="0" borderId="1" xfId="0" applyBorder="1"/>
    <xf numFmtId="0" fontId="9" fillId="6" borderId="1" xfId="11" applyBorder="1"/>
    <xf numFmtId="0" fontId="3" fillId="7" borderId="4" xfId="12"/>
    <xf numFmtId="0" fontId="9" fillId="6" borderId="5" xfId="13" applyFont="1" applyFill="1"/>
    <xf numFmtId="0" fontId="9" fillId="6" borderId="6" xfId="14" applyFont="1" applyFill="1"/>
    <xf numFmtId="166" fontId="3" fillId="7" borderId="5" xfId="10" applyFont="1" applyFill="1" applyBorder="1" applyAlignment="1">
      <alignment horizontal="left"/>
    </xf>
    <xf numFmtId="166" fontId="0" fillId="0" borderId="5" xfId="10" applyFont="1" applyFill="1" applyBorder="1" applyAlignment="1">
      <alignment horizontal="left"/>
    </xf>
    <xf numFmtId="164" fontId="3" fillId="7" borderId="6" xfId="9" applyFont="1" applyFill="1" applyBorder="1"/>
    <xf numFmtId="164" fontId="0" fillId="0" borderId="6" xfId="9" applyFont="1" applyFill="1" applyBorder="1"/>
    <xf numFmtId="0" fontId="6" fillId="2" borderId="0" xfId="2">
      <alignment horizontal="left" indent="1"/>
    </xf>
    <xf numFmtId="0" fontId="7" fillId="2" borderId="0" xfId="3">
      <alignment horizontal="left" wrapText="1" indent="4"/>
    </xf>
    <xf numFmtId="0" fontId="2" fillId="0" borderId="0" xfId="5" applyFont="1"/>
    <xf numFmtId="0" fontId="23" fillId="5" borderId="0" xfId="0" applyFont="1" applyFill="1"/>
    <xf numFmtId="9" fontId="0" fillId="0" borderId="0" xfId="0" applyNumberFormat="1"/>
    <xf numFmtId="0" fontId="0" fillId="0" borderId="0" xfId="0" quotePrefix="1"/>
    <xf numFmtId="0" fontId="0" fillId="0" borderId="7" xfId="0" applyBorder="1"/>
    <xf numFmtId="0" fontId="0" fillId="8" borderId="7" xfId="0" applyFill="1" applyBorder="1"/>
    <xf numFmtId="0" fontId="25" fillId="0" borderId="7" xfId="0" applyFont="1" applyBorder="1"/>
    <xf numFmtId="14" fontId="0" fillId="0" borderId="0" xfId="0" applyNumberFormat="1"/>
    <xf numFmtId="0" fontId="0" fillId="9" borderId="0" xfId="0" applyFill="1"/>
    <xf numFmtId="0" fontId="0" fillId="10" borderId="0" xfId="0" applyFill="1"/>
    <xf numFmtId="14" fontId="0" fillId="11" borderId="0" xfId="0" applyNumberFormat="1" applyFill="1"/>
    <xf numFmtId="0" fontId="0" fillId="11" borderId="0" xfId="0" applyFill="1"/>
    <xf numFmtId="168" fontId="0" fillId="0" borderId="0" xfId="0" applyNumberFormat="1"/>
    <xf numFmtId="169" fontId="0" fillId="0" borderId="0" xfId="0" applyNumberFormat="1"/>
    <xf numFmtId="0" fontId="26" fillId="0" borderId="8" xfId="0" applyFont="1" applyBorder="1"/>
    <xf numFmtId="0" fontId="27" fillId="12" borderId="8" xfId="0" applyFont="1" applyFill="1" applyBorder="1" applyAlignment="1">
      <alignment horizontal="center" vertical="center"/>
    </xf>
    <xf numFmtId="0" fontId="28" fillId="13" borderId="8" xfId="0" applyFont="1" applyFill="1" applyBorder="1"/>
    <xf numFmtId="0" fontId="28" fillId="0" borderId="8" xfId="0" applyFont="1" applyBorder="1" applyAlignment="1">
      <alignment horizontal="center"/>
    </xf>
    <xf numFmtId="9" fontId="0" fillId="0" borderId="0" xfId="15" applyFont="1"/>
    <xf numFmtId="0" fontId="28" fillId="13" borderId="8" xfId="0" applyFont="1" applyFill="1" applyBorder="1" applyAlignment="1">
      <alignment wrapText="1"/>
    </xf>
    <xf numFmtId="9" fontId="28" fillId="0" borderId="8" xfId="15" applyFont="1" applyBorder="1" applyAlignment="1">
      <alignment horizontal="center"/>
    </xf>
    <xf numFmtId="0" fontId="29" fillId="0" borderId="0" xfId="0" applyFont="1"/>
    <xf numFmtId="0" fontId="26" fillId="0" borderId="0" xfId="0" applyFont="1"/>
    <xf numFmtId="0" fontId="29" fillId="14" borderId="0" xfId="0" applyFont="1" applyFill="1"/>
    <xf numFmtId="0" fontId="30" fillId="15" borderId="0" xfId="0" applyFont="1" applyFill="1"/>
    <xf numFmtId="0" fontId="26" fillId="16" borderId="0" xfId="0" applyFont="1" applyFill="1"/>
    <xf numFmtId="14" fontId="26" fillId="0" borderId="0" xfId="0" applyNumberFormat="1" applyFont="1"/>
    <xf numFmtId="0" fontId="29" fillId="16" borderId="0" xfId="0" applyFont="1" applyFill="1"/>
    <xf numFmtId="0" fontId="26" fillId="17" borderId="0" xfId="0" applyFont="1" applyFill="1"/>
    <xf numFmtId="0" fontId="26" fillId="18" borderId="0" xfId="0" applyFont="1" applyFill="1"/>
    <xf numFmtId="170" fontId="26" fillId="0" borderId="0" xfId="0" applyNumberFormat="1" applyFont="1"/>
    <xf numFmtId="0" fontId="31" fillId="0" borderId="0" xfId="0" applyFont="1"/>
    <xf numFmtId="0" fontId="32" fillId="0" borderId="0" xfId="0" applyFont="1"/>
    <xf numFmtId="3" fontId="0" fillId="0" borderId="0" xfId="0" applyNumberFormat="1"/>
    <xf numFmtId="0" fontId="0" fillId="19" borderId="0" xfId="0" applyFill="1"/>
    <xf numFmtId="0" fontId="34" fillId="0" borderId="0" xfId="0" applyFont="1"/>
    <xf numFmtId="3" fontId="26" fillId="0" borderId="0" xfId="0" applyNumberFormat="1" applyFont="1"/>
    <xf numFmtId="0" fontId="26" fillId="0" borderId="0" xfId="0" applyFont="1" applyAlignment="1">
      <alignment wrapText="1"/>
    </xf>
    <xf numFmtId="0" fontId="1" fillId="0" borderId="0" xfId="0" applyFont="1" applyAlignment="1">
      <alignment horizontal="center"/>
    </xf>
    <xf numFmtId="0" fontId="1" fillId="0" borderId="0" xfId="0" applyFont="1" applyAlignment="1">
      <alignment horizontal="left"/>
    </xf>
    <xf numFmtId="0" fontId="1" fillId="0" borderId="7" xfId="0" applyFont="1" applyBorder="1" applyAlignment="1">
      <alignment horizontal="left"/>
    </xf>
    <xf numFmtId="0" fontId="1" fillId="0" borderId="9" xfId="0" applyFont="1" applyBorder="1" applyAlignment="1">
      <alignment horizontal="left"/>
    </xf>
    <xf numFmtId="0" fontId="33" fillId="0" borderId="0" xfId="0" applyFont="1" applyAlignment="1">
      <alignment horizontal="left"/>
    </xf>
    <xf numFmtId="0" fontId="35" fillId="0" borderId="7" xfId="0" applyFont="1" applyBorder="1" applyAlignment="1">
      <alignment horizontal="left" wrapText="1"/>
    </xf>
    <xf numFmtId="0" fontId="35" fillId="0" borderId="7" xfId="0" applyFont="1" applyBorder="1" applyAlignment="1">
      <alignment horizontal="left"/>
    </xf>
    <xf numFmtId="0" fontId="1" fillId="0" borderId="11" xfId="0" applyFont="1" applyBorder="1" applyAlignment="1">
      <alignment horizontal="left"/>
    </xf>
    <xf numFmtId="0" fontId="1" fillId="0" borderId="12" xfId="0" applyFont="1" applyBorder="1" applyAlignment="1">
      <alignment horizontal="left"/>
    </xf>
    <xf numFmtId="0" fontId="33" fillId="0" borderId="7" xfId="0" applyFont="1" applyBorder="1" applyAlignment="1">
      <alignment horizontal="left"/>
    </xf>
    <xf numFmtId="0" fontId="33" fillId="0" borderId="9" xfId="0" applyFont="1" applyBorder="1" applyAlignment="1">
      <alignment horizontal="left"/>
    </xf>
    <xf numFmtId="0" fontId="0" fillId="0" borderId="11" xfId="0" applyBorder="1" applyAlignment="1">
      <alignment horizontal="left"/>
    </xf>
    <xf numFmtId="0" fontId="0" fillId="0" borderId="10" xfId="0" applyBorder="1" applyAlignment="1">
      <alignment horizontal="left"/>
    </xf>
    <xf numFmtId="0" fontId="36" fillId="0" borderId="7" xfId="0" applyFont="1" applyBorder="1" applyAlignment="1">
      <alignment horizontal="left"/>
    </xf>
    <xf numFmtId="0" fontId="33" fillId="20" borderId="7" xfId="0" applyFont="1" applyFill="1" applyBorder="1" applyAlignment="1">
      <alignment horizontal="left"/>
    </xf>
    <xf numFmtId="0" fontId="33" fillId="21" borderId="7" xfId="0" applyFont="1" applyFill="1" applyBorder="1" applyAlignment="1">
      <alignment horizontal="left"/>
    </xf>
    <xf numFmtId="0" fontId="33" fillId="10" borderId="7" xfId="0" applyFont="1" applyFill="1" applyBorder="1" applyAlignment="1">
      <alignment horizontal="left"/>
    </xf>
    <xf numFmtId="0" fontId="9" fillId="0" borderId="0" xfId="0" applyFont="1" applyAlignment="1">
      <alignment horizontal="left" vertical="center"/>
    </xf>
    <xf numFmtId="171" fontId="0" fillId="0" borderId="0" xfId="0" applyNumberFormat="1"/>
    <xf numFmtId="0" fontId="40" fillId="23" borderId="13" xfId="0" applyFont="1" applyFill="1" applyBorder="1" applyAlignment="1">
      <alignment vertical="center"/>
    </xf>
    <xf numFmtId="0" fontId="40" fillId="23" borderId="14" xfId="0" applyFont="1" applyFill="1" applyBorder="1" applyAlignment="1">
      <alignment vertical="center"/>
    </xf>
    <xf numFmtId="171" fontId="40" fillId="23" borderId="14" xfId="0" applyNumberFormat="1" applyFont="1" applyFill="1" applyBorder="1" applyAlignment="1">
      <alignment vertical="center"/>
    </xf>
    <xf numFmtId="0" fontId="40" fillId="23" borderId="15" xfId="0" applyFont="1" applyFill="1" applyBorder="1" applyAlignment="1">
      <alignment vertical="center"/>
    </xf>
    <xf numFmtId="14" fontId="0" fillId="24" borderId="12" xfId="0" applyNumberFormat="1" applyFill="1" applyBorder="1" applyAlignment="1">
      <alignment horizontal="center" vertical="center"/>
    </xf>
    <xf numFmtId="0" fontId="0" fillId="24" borderId="12" xfId="0" applyFill="1" applyBorder="1" applyAlignment="1">
      <alignment horizontal="center" vertical="center"/>
    </xf>
    <xf numFmtId="171" fontId="0" fillId="24" borderId="12" xfId="0" applyNumberFormat="1" applyFill="1" applyBorder="1" applyAlignment="1">
      <alignment horizontal="center" vertical="center"/>
    </xf>
    <xf numFmtId="0" fontId="0" fillId="24" borderId="9" xfId="0" applyFill="1" applyBorder="1" applyAlignment="1">
      <alignment horizontal="center" vertical="center"/>
    </xf>
    <xf numFmtId="14" fontId="0" fillId="0" borderId="12" xfId="0" applyNumberFormat="1" applyBorder="1" applyAlignment="1">
      <alignment horizontal="center" vertical="center"/>
    </xf>
    <xf numFmtId="0" fontId="0" fillId="0" borderId="12" xfId="0" applyBorder="1" applyAlignment="1">
      <alignment horizontal="center" vertical="center"/>
    </xf>
    <xf numFmtId="171" fontId="0" fillId="0" borderId="12" xfId="0" applyNumberFormat="1" applyBorder="1" applyAlignment="1">
      <alignment horizontal="center" vertical="center"/>
    </xf>
    <xf numFmtId="0" fontId="0" fillId="0" borderId="9" xfId="0" applyBorder="1" applyAlignment="1">
      <alignment horizontal="center" vertical="center"/>
    </xf>
    <xf numFmtId="171" fontId="34" fillId="0" borderId="0" xfId="0" applyNumberFormat="1" applyFont="1"/>
    <xf numFmtId="171" fontId="41" fillId="0" borderId="0" xfId="0" applyNumberFormat="1" applyFont="1" applyAlignment="1">
      <alignment horizontal="right" vertical="top"/>
    </xf>
    <xf numFmtId="0" fontId="40" fillId="26" borderId="17" xfId="0" applyFont="1" applyFill="1" applyBorder="1"/>
    <xf numFmtId="171" fontId="40" fillId="26" borderId="18" xfId="0" applyNumberFormat="1" applyFont="1" applyFill="1" applyBorder="1"/>
    <xf numFmtId="0" fontId="38" fillId="25" borderId="19" xfId="0" applyFont="1" applyFill="1" applyBorder="1"/>
    <xf numFmtId="171" fontId="0" fillId="22" borderId="20" xfId="0" applyNumberFormat="1" applyFill="1" applyBorder="1"/>
    <xf numFmtId="0" fontId="38" fillId="25" borderId="21" xfId="0" applyFont="1" applyFill="1" applyBorder="1"/>
    <xf numFmtId="171" fontId="0" fillId="22" borderId="22" xfId="9" applyNumberFormat="1" applyFont="1" applyFill="1" applyBorder="1" applyAlignment="1">
      <alignment horizontal="right"/>
    </xf>
    <xf numFmtId="0" fontId="38" fillId="25" borderId="12" xfId="0" applyFont="1" applyFill="1" applyBorder="1"/>
    <xf numFmtId="171" fontId="0" fillId="22" borderId="9" xfId="0" applyNumberFormat="1" applyFill="1" applyBorder="1" applyAlignment="1">
      <alignment horizontal="right" vertical="center"/>
    </xf>
    <xf numFmtId="171" fontId="0" fillId="22" borderId="9" xfId="0" applyNumberFormat="1" applyFill="1" applyBorder="1"/>
    <xf numFmtId="171" fontId="38" fillId="27" borderId="9" xfId="0" applyNumberFormat="1" applyFont="1" applyFill="1" applyBorder="1"/>
    <xf numFmtId="0" fontId="38" fillId="25" borderId="23" xfId="0" applyFont="1" applyFill="1" applyBorder="1"/>
    <xf numFmtId="171" fontId="0" fillId="22" borderId="16" xfId="0" applyNumberFormat="1" applyFill="1" applyBorder="1" applyAlignment="1">
      <alignment horizontal="center"/>
    </xf>
    <xf numFmtId="0" fontId="0" fillId="0" borderId="7" xfId="0" applyBorder="1" applyAlignment="1">
      <alignment horizontal="center" vertical="center"/>
    </xf>
    <xf numFmtId="0" fontId="0" fillId="24" borderId="7" xfId="0" applyFill="1" applyBorder="1" applyAlignment="1">
      <alignment horizontal="center" vertical="center"/>
    </xf>
    <xf numFmtId="0" fontId="39" fillId="0" borderId="7" xfId="0" applyFont="1" applyBorder="1" applyAlignment="1">
      <alignment horizontal="center" vertical="center"/>
    </xf>
    <xf numFmtId="0" fontId="39" fillId="0" borderId="7" xfId="0" applyFont="1" applyBorder="1"/>
    <xf numFmtId="171" fontId="0" fillId="0" borderId="7" xfId="0" applyNumberFormat="1" applyBorder="1"/>
    <xf numFmtId="171" fontId="34" fillId="0" borderId="0" xfId="0" applyNumberFormat="1" applyFont="1" applyAlignment="1">
      <alignment horizontal="center" vertical="top"/>
    </xf>
    <xf numFmtId="171" fontId="34" fillId="0" borderId="0" xfId="0" applyNumberFormat="1" applyFont="1" applyAlignment="1">
      <alignment horizontal="centerContinuous" vertical="top"/>
    </xf>
    <xf numFmtId="0" fontId="0" fillId="0" borderId="0" xfId="0" applyAlignment="1">
      <alignment horizontal="center"/>
    </xf>
    <xf numFmtId="0" fontId="42" fillId="0" borderId="0" xfId="0" applyFont="1" applyAlignment="1">
      <alignment horizontal="center" vertical="center"/>
    </xf>
    <xf numFmtId="0" fontId="37" fillId="22" borderId="0" xfId="0" applyFont="1" applyFill="1" applyAlignment="1">
      <alignment horizontal="center" vertical="center"/>
    </xf>
    <xf numFmtId="0" fontId="1" fillId="0" borderId="0" xfId="0" applyFont="1" applyAlignment="1">
      <alignment horizontal="center"/>
    </xf>
    <xf numFmtId="0" fontId="39" fillId="0" borderId="0" xfId="0" applyFont="1"/>
    <xf numFmtId="14" fontId="0" fillId="0" borderId="0" xfId="0" applyNumberFormat="1" applyAlignment="1">
      <alignment horizontal="center"/>
    </xf>
    <xf numFmtId="0" fontId="29" fillId="0" borderId="7" xfId="0" applyFont="1" applyBorder="1" applyAlignment="1">
      <alignment horizontal="center"/>
    </xf>
    <xf numFmtId="0" fontId="29" fillId="0" borderId="7" xfId="0" applyFont="1" applyBorder="1" applyAlignment="1">
      <alignment horizontal="center"/>
    </xf>
    <xf numFmtId="0" fontId="26" fillId="0" borderId="7" xfId="0" applyFont="1" applyBorder="1"/>
    <xf numFmtId="3" fontId="26" fillId="0" borderId="7" xfId="0" applyNumberFormat="1" applyFont="1" applyBorder="1"/>
    <xf numFmtId="177" fontId="26" fillId="0" borderId="7" xfId="0" applyNumberFormat="1" applyFont="1" applyBorder="1"/>
    <xf numFmtId="0" fontId="43" fillId="0" borderId="0" xfId="0" applyFont="1"/>
    <xf numFmtId="0" fontId="27" fillId="12" borderId="7" xfId="0" applyFont="1" applyFill="1" applyBorder="1" applyAlignment="1">
      <alignment horizontal="center"/>
    </xf>
    <xf numFmtId="0" fontId="32" fillId="28" borderId="8" xfId="0" applyFont="1" applyFill="1" applyBorder="1" applyAlignment="1">
      <alignment horizontal="center"/>
    </xf>
    <xf numFmtId="0" fontId="27" fillId="29" borderId="8" xfId="0" applyFont="1" applyFill="1" applyBorder="1" applyAlignment="1">
      <alignment horizontal="center"/>
    </xf>
    <xf numFmtId="0" fontId="44" fillId="30" borderId="8" xfId="0" applyFont="1" applyFill="1" applyBorder="1" applyAlignment="1">
      <alignment horizontal="center"/>
    </xf>
    <xf numFmtId="0" fontId="27" fillId="30" borderId="8" xfId="0" applyFont="1" applyFill="1" applyBorder="1" applyAlignment="1">
      <alignment horizontal="center"/>
    </xf>
    <xf numFmtId="0" fontId="0" fillId="0" borderId="0" xfId="0" applyAlignment="1"/>
    <xf numFmtId="0" fontId="29" fillId="0" borderId="0" xfId="0" applyFont="1" applyFill="1" applyBorder="1"/>
    <xf numFmtId="0" fontId="46" fillId="0" borderId="0" xfId="0" applyFont="1" applyFill="1" applyBorder="1"/>
    <xf numFmtId="0" fontId="32" fillId="0" borderId="24" xfId="0" applyFont="1" applyBorder="1" applyAlignment="1">
      <alignment horizontal="center"/>
    </xf>
    <xf numFmtId="0" fontId="46" fillId="0" borderId="0" xfId="0" applyFont="1"/>
    <xf numFmtId="0" fontId="32" fillId="0" borderId="8" xfId="0" applyFont="1" applyBorder="1" applyAlignment="1">
      <alignment horizontal="center"/>
    </xf>
    <xf numFmtId="0" fontId="26" fillId="0" borderId="8" xfId="0" applyNumberFormat="1" applyFont="1" applyBorder="1"/>
    <xf numFmtId="0" fontId="45" fillId="0" borderId="0" xfId="0" applyFont="1"/>
    <xf numFmtId="0" fontId="32" fillId="0" borderId="7" xfId="0" applyFont="1" applyBorder="1" applyAlignment="1">
      <alignment horizontal="center"/>
    </xf>
    <xf numFmtId="0" fontId="43" fillId="0" borderId="7" xfId="0" applyFont="1" applyBorder="1"/>
    <xf numFmtId="3" fontId="26" fillId="0" borderId="8" xfId="0" applyNumberFormat="1" applyFont="1" applyBorder="1"/>
    <xf numFmtId="0" fontId="47" fillId="28" borderId="8" xfId="0" applyFont="1" applyFill="1" applyBorder="1" applyAlignment="1">
      <alignment horizontal="center"/>
    </xf>
    <xf numFmtId="0" fontId="26" fillId="31" borderId="8" xfId="0" applyFont="1" applyFill="1" applyBorder="1"/>
    <xf numFmtId="0" fontId="29" fillId="0" borderId="0" xfId="0" applyFont="1" applyBorder="1" applyAlignment="1">
      <alignment horizontal="center"/>
    </xf>
    <xf numFmtId="0" fontId="26" fillId="0" borderId="0" xfId="0" applyFont="1" applyBorder="1"/>
    <xf numFmtId="0" fontId="43" fillId="0" borderId="0" xfId="0" applyFont="1" applyBorder="1"/>
    <xf numFmtId="0" fontId="0" fillId="0" borderId="0" xfId="0" applyBorder="1"/>
    <xf numFmtId="0" fontId="32" fillId="0" borderId="0" xfId="0" applyFont="1" applyBorder="1" applyAlignment="1">
      <alignment horizontal="center"/>
    </xf>
    <xf numFmtId="3" fontId="26" fillId="0" borderId="0" xfId="0" applyNumberFormat="1" applyFont="1" applyBorder="1"/>
    <xf numFmtId="0" fontId="0" fillId="0" borderId="0" xfId="0" applyNumberFormat="1"/>
    <xf numFmtId="0" fontId="0" fillId="0" borderId="7" xfId="0" applyNumberFormat="1" applyFont="1" applyBorder="1"/>
    <xf numFmtId="0" fontId="0" fillId="4" borderId="7" xfId="0" applyFont="1" applyFill="1" applyBorder="1"/>
    <xf numFmtId="14" fontId="0" fillId="4" borderId="7" xfId="0" applyNumberFormat="1" applyFont="1" applyFill="1" applyBorder="1"/>
    <xf numFmtId="0" fontId="0" fillId="4" borderId="7" xfId="0" applyNumberFormat="1" applyFont="1" applyFill="1" applyBorder="1"/>
    <xf numFmtId="9" fontId="0" fillId="4" borderId="7" xfId="15" applyNumberFormat="1" applyFont="1" applyFill="1" applyBorder="1"/>
    <xf numFmtId="10" fontId="0" fillId="4" borderId="7" xfId="0" applyNumberFormat="1" applyFont="1" applyFill="1" applyBorder="1"/>
    <xf numFmtId="180" fontId="0" fillId="4" borderId="7" xfId="9" applyNumberFormat="1" applyFont="1" applyFill="1" applyBorder="1"/>
    <xf numFmtId="0" fontId="0" fillId="0" borderId="7" xfId="0" applyFont="1" applyBorder="1"/>
    <xf numFmtId="14" fontId="0" fillId="0" borderId="7" xfId="0" applyNumberFormat="1" applyFont="1" applyBorder="1"/>
    <xf numFmtId="9" fontId="0" fillId="0" borderId="7" xfId="15" applyNumberFormat="1" applyFont="1" applyBorder="1"/>
    <xf numFmtId="0" fontId="0" fillId="16" borderId="0" xfId="0" applyFill="1"/>
    <xf numFmtId="9" fontId="0" fillId="16" borderId="0" xfId="15" applyFont="1" applyFill="1"/>
    <xf numFmtId="0" fontId="0" fillId="16" borderId="0" xfId="0" applyNumberFormat="1" applyFill="1"/>
    <xf numFmtId="10" fontId="0" fillId="16" borderId="0" xfId="0" applyNumberFormat="1" applyFill="1"/>
    <xf numFmtId="180" fontId="0" fillId="16" borderId="0" xfId="9" applyNumberFormat="1" applyFont="1" applyFill="1"/>
    <xf numFmtId="0" fontId="39" fillId="32" borderId="0" xfId="0" applyFont="1" applyFill="1"/>
    <xf numFmtId="0" fontId="43" fillId="32" borderId="0" xfId="0" applyFont="1" applyFill="1" applyAlignment="1">
      <alignment horizontal="center"/>
    </xf>
    <xf numFmtId="0" fontId="39" fillId="32" borderId="0" xfId="0" applyFont="1" applyFill="1" applyAlignment="1">
      <alignment horizontal="center"/>
    </xf>
    <xf numFmtId="0" fontId="39" fillId="32" borderId="0" xfId="0" applyNumberFormat="1" applyFont="1" applyFill="1"/>
    <xf numFmtId="10" fontId="39" fillId="32" borderId="0" xfId="9" applyNumberFormat="1" applyFont="1" applyFill="1"/>
    <xf numFmtId="180" fontId="0" fillId="32" borderId="0" xfId="0" applyNumberFormat="1" applyFill="1"/>
    <xf numFmtId="0" fontId="0" fillId="32" borderId="0" xfId="0" applyFill="1"/>
    <xf numFmtId="180" fontId="38" fillId="32" borderId="0" xfId="0" applyNumberFormat="1" applyFont="1" applyFill="1" applyAlignment="1">
      <alignment horizontal="center"/>
    </xf>
    <xf numFmtId="0" fontId="0" fillId="32" borderId="0" xfId="0" applyFill="1" applyAlignment="1">
      <alignment horizontal="center"/>
    </xf>
    <xf numFmtId="171" fontId="38" fillId="32" borderId="0" xfId="0" applyNumberFormat="1" applyFont="1" applyFill="1" applyAlignment="1">
      <alignment horizontal="center"/>
    </xf>
    <xf numFmtId="0" fontId="38" fillId="32" borderId="0" xfId="0" applyFont="1" applyFill="1" applyAlignment="1">
      <alignment horizontal="center"/>
    </xf>
    <xf numFmtId="9" fontId="38" fillId="32" borderId="0" xfId="15" applyFont="1" applyFill="1" applyAlignment="1">
      <alignment horizontal="center"/>
    </xf>
    <xf numFmtId="0" fontId="0" fillId="32" borderId="0" xfId="0" applyNumberFormat="1" applyFill="1" applyAlignment="1">
      <alignment horizontal="center"/>
    </xf>
    <xf numFmtId="0" fontId="0" fillId="32" borderId="0" xfId="0" applyNumberFormat="1" applyFill="1"/>
    <xf numFmtId="10" fontId="0" fillId="32" borderId="0" xfId="9" applyNumberFormat="1" applyFont="1" applyFill="1"/>
    <xf numFmtId="9" fontId="0" fillId="32" borderId="0" xfId="15" applyFont="1" applyFill="1"/>
    <xf numFmtId="0" fontId="0" fillId="32" borderId="0" xfId="0" applyNumberFormat="1" applyFill="1" applyBorder="1"/>
    <xf numFmtId="171" fontId="0" fillId="32" borderId="0" xfId="0" applyNumberFormat="1" applyFill="1"/>
    <xf numFmtId="0" fontId="0" fillId="0" borderId="9" xfId="0" applyFont="1" applyBorder="1"/>
    <xf numFmtId="14" fontId="0" fillId="0" borderId="9" xfId="0" applyNumberFormat="1" applyFont="1" applyBorder="1"/>
    <xf numFmtId="0" fontId="0" fillId="0" borderId="9" xfId="0" applyNumberFormat="1" applyFont="1" applyBorder="1"/>
    <xf numFmtId="9" fontId="0" fillId="0" borderId="9" xfId="15" applyNumberFormat="1" applyFont="1" applyBorder="1"/>
    <xf numFmtId="0" fontId="0" fillId="4" borderId="9" xfId="0" applyNumberFormat="1" applyFont="1" applyFill="1" applyBorder="1"/>
    <xf numFmtId="10" fontId="0" fillId="4" borderId="9" xfId="0" applyNumberFormat="1" applyFont="1" applyFill="1" applyBorder="1"/>
    <xf numFmtId="180" fontId="0" fillId="4" borderId="9" xfId="9" applyNumberFormat="1" applyFont="1" applyFill="1" applyBorder="1"/>
  </cellXfs>
  <cellStyles count="16">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Percent" xfId="15" builtinId="5"/>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99">
    <dxf>
      <font>
        <b val="0"/>
        <i val="0"/>
        <strike val="0"/>
        <condense val="0"/>
        <extend val="0"/>
        <outline val="0"/>
        <shadow val="0"/>
        <u val="none"/>
        <vertAlign val="baseline"/>
        <sz val="11"/>
        <color theme="1"/>
        <name val="Calibri"/>
        <family val="2"/>
        <scheme val="none"/>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80" formatCode="&quot;₹&quot;\ #,##0.00"/>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4" formatCode="0.00%"/>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color theme="1"/>
        <name val="Trebuchet MS"/>
        <family val="2"/>
        <scheme val="minor"/>
      </font>
      <alignment horizontal="left" vertical="bottom" textRotation="0" indent="0" justifyLastLine="0" shrinkToFit="0" readingOrder="0"/>
    </dxf>
    <dxf>
      <font>
        <b/>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b/>
        <strike val="0"/>
        <outline val="0"/>
        <shadow val="0"/>
        <u val="none"/>
        <vertAlign val="baseline"/>
        <color theme="1"/>
        <name val="Trebuchet MS"/>
        <family val="2"/>
        <scheme val="minor"/>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color theme="1"/>
        <name val="Trebuchet MS"/>
        <family val="2"/>
        <scheme val="minor"/>
      </font>
      <numFmt numFmtId="0" formatCode="General"/>
      <alignment horizontal="left" vertical="bottom"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color theme="1"/>
        <name val="Trebuchet MS"/>
        <family val="2"/>
        <scheme val="minor"/>
      </font>
      <numFmt numFmtId="0" formatCode="Genera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numFmt numFmtId="0" formatCode="Genera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numFmt numFmtId="0" formatCode="Genera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Trebuchet MS"/>
        <family val="2"/>
        <scheme val="minor"/>
      </font>
      <alignment horizontal="left" textRotation="0" indent="0" justifyLastLine="0" shrinkToFit="0" readingOrder="0"/>
    </dxf>
    <dxf>
      <font>
        <strike val="0"/>
        <outline val="0"/>
        <shadow val="0"/>
        <u val="none"/>
        <vertAlign val="baseline"/>
        <color theme="1"/>
        <name val="Trebuchet MS"/>
        <family val="2"/>
        <scheme val="minor"/>
      </font>
      <alignment horizontal="left" vertical="bottom" textRotation="0" indent="0" justifyLastLine="0" shrinkToFit="0" readingOrder="0"/>
    </dxf>
    <dxf>
      <font>
        <b/>
        <strike val="0"/>
        <outline val="0"/>
        <shadow val="0"/>
        <u val="none"/>
        <vertAlign val="baseline"/>
        <sz val="11"/>
        <color theme="0"/>
        <name val="Trebuchet MS"/>
        <family val="2"/>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numFmt numFmtId="19" formatCode="dd/mm/yyyy"/>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rgb="FF000000"/>
        <name val="Aptos Narrow"/>
        <family val="2"/>
        <scheme val="none"/>
      </font>
      <fill>
        <patternFill patternType="solid">
          <fgColor indexed="64"/>
          <bgColor theme="9" tint="0.39997558519241921"/>
        </patternFill>
      </fill>
    </dxf>
    <dxf>
      <numFmt numFmtId="0" formatCode="General"/>
    </dxf>
    <dxf>
      <numFmt numFmtId="0" formatCode="General"/>
    </dxf>
    <dxf>
      <numFmt numFmtId="19" formatCode="dd/mm/yyyy"/>
    </dxf>
    <dxf>
      <fill>
        <patternFill patternType="solid">
          <fgColor rgb="FFFFFF00"/>
          <bgColor rgb="FF000000"/>
        </patternFill>
      </fill>
    </dxf>
    <dxf>
      <numFmt numFmtId="0" formatCode="General"/>
    </dxf>
    <dxf>
      <numFmt numFmtId="0" formatCode="Genera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numFmt numFmtId="167" formatCode="&quot;$&quot;#,##0"/>
    </dxf>
    <dxf>
      <numFmt numFmtId="164" formatCode="&quot;$&quot;#,##0_);\(&quot;$&quot;#,##0\)"/>
    </dxf>
    <dxf>
      <numFmt numFmtId="164" formatCode="&quot;$&quot;#,##0_);\(&quot;$&quot;#,##0\)"/>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Trebuchet MS"/>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Trebuchet MS"/>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Trebuchet MS"/>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Trebuchet MS"/>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Trebuchet MS"/>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numFmt numFmtId="167" formatCode="&quot;$&quot;#,##0"/>
    </dxf>
  </dxfs>
  <tableStyles count="0" defaultTableStyle="TableStyleMedium7" defaultPivotStyle="PivotStyleLight16"/>
  <colors>
    <mruColors>
      <color rgb="FFC0C0C0"/>
      <color rgb="FF9966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8.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42" Type="http://schemas.openxmlformats.org/officeDocument/2006/relationships/pivotCacheDefinition" Target="pivotCache/pivotCacheDefinition11.xml"/><Relationship Id="rId47" Type="http://schemas.microsoft.com/office/2007/relationships/slicerCache" Target="slicerCaches/slicerCache2.xml"/><Relationship Id="rId50" Type="http://schemas.openxmlformats.org/officeDocument/2006/relationships/theme" Target="theme/theme1.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pivotCacheDefinition" Target="pivotCache/pivotCacheDefinition6.xml"/><Relationship Id="rId40" Type="http://schemas.openxmlformats.org/officeDocument/2006/relationships/pivotCacheDefinition" Target="pivotCache/pivotCacheDefinition9.xml"/><Relationship Id="rId45" Type="http://schemas.openxmlformats.org/officeDocument/2006/relationships/pivotCacheDefinition" Target="pivotCache/pivotCacheDefinition14.xml"/><Relationship Id="rId53" Type="http://schemas.openxmlformats.org/officeDocument/2006/relationships/sharedStrings" Target="sharedStrings.xml"/><Relationship Id="rId58" Type="http://schemas.openxmlformats.org/officeDocument/2006/relationships/customXml" Target="../customXml/item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43" Type="http://schemas.openxmlformats.org/officeDocument/2006/relationships/pivotCacheDefinition" Target="pivotCache/pivotCacheDefinition12.xml"/><Relationship Id="rId48" Type="http://schemas.microsoft.com/office/2007/relationships/slicerCache" Target="slicerCaches/slicerCache3.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pivotCacheDefinition" Target="pivotCache/pivotCacheDefinition7.xml"/><Relationship Id="rId46" Type="http://schemas.microsoft.com/office/2007/relationships/slicerCache" Target="slicerCaches/slicerCache1.xml"/><Relationship Id="rId20" Type="http://schemas.openxmlformats.org/officeDocument/2006/relationships/worksheet" Target="worksheets/sheet20.xml"/><Relationship Id="rId41" Type="http://schemas.openxmlformats.org/officeDocument/2006/relationships/pivotCacheDefinition" Target="pivotCache/pivotCacheDefinition10.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5.xml"/><Relationship Id="rId49" Type="http://schemas.microsoft.com/office/2007/relationships/slicerCache" Target="slicerCaches/slicerCache4.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3.xml"/><Relationship Id="rId5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'Expense Tracker'!$I$19</c:f>
              <c:strCache>
                <c:ptCount val="1"/>
                <c:pt idx="0">
                  <c:v>Total Spend</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DE5C-494C-9A1C-4EB4B6C1C49D}"/>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DE5C-494C-9A1C-4EB4B6C1C49D}"/>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DE5C-494C-9A1C-4EB4B6C1C49D}"/>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DE5C-494C-9A1C-4EB4B6C1C49D}"/>
              </c:ext>
            </c:extLst>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DE5C-494C-9A1C-4EB4B6C1C49D}"/>
              </c:ext>
            </c:extLst>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DE5C-494C-9A1C-4EB4B6C1C49D}"/>
              </c:ext>
            </c:extLst>
          </c:dPt>
          <c:dPt>
            <c:idx val="6"/>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DE5C-494C-9A1C-4EB4B6C1C49D}"/>
              </c:ext>
            </c:extLst>
          </c:dPt>
          <c:dPt>
            <c:idx val="7"/>
            <c:bubble3D val="0"/>
            <c:spPr>
              <a:gradFill rotWithShape="1">
                <a:gsLst>
                  <a:gs pos="0">
                    <a:schemeClr val="accent2">
                      <a:lumMod val="60000"/>
                      <a:tint val="96000"/>
                      <a:lumMod val="100000"/>
                    </a:schemeClr>
                  </a:gs>
                  <a:gs pos="78000">
                    <a:schemeClr val="accent2">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F-DE5C-494C-9A1C-4EB4B6C1C49D}"/>
              </c:ext>
            </c:extLst>
          </c:dPt>
          <c:dPt>
            <c:idx val="8"/>
            <c:bubble3D val="0"/>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1-DE5C-494C-9A1C-4EB4B6C1C49D}"/>
              </c:ext>
            </c:extLst>
          </c:dPt>
          <c:dPt>
            <c:idx val="9"/>
            <c:bubble3D val="0"/>
            <c:spPr>
              <a:gradFill rotWithShape="1">
                <a:gsLst>
                  <a:gs pos="0">
                    <a:schemeClr val="accent4">
                      <a:lumMod val="60000"/>
                      <a:tint val="96000"/>
                      <a:lumMod val="100000"/>
                    </a:schemeClr>
                  </a:gs>
                  <a:gs pos="78000">
                    <a:schemeClr val="accent4">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3-DE5C-494C-9A1C-4EB4B6C1C49D}"/>
              </c:ext>
            </c:extLst>
          </c:dPt>
          <c:dPt>
            <c:idx val="10"/>
            <c:bubble3D val="0"/>
            <c:spPr>
              <a:gradFill rotWithShape="1">
                <a:gsLst>
                  <a:gs pos="0">
                    <a:schemeClr val="accent5">
                      <a:lumMod val="60000"/>
                      <a:tint val="96000"/>
                      <a:lumMod val="100000"/>
                    </a:schemeClr>
                  </a:gs>
                  <a:gs pos="78000">
                    <a:schemeClr val="accent5">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5-DE5C-494C-9A1C-4EB4B6C1C49D}"/>
              </c:ext>
            </c:extLst>
          </c:dPt>
          <c:dPt>
            <c:idx val="11"/>
            <c:bubble3D val="0"/>
            <c:spPr>
              <a:gradFill rotWithShape="1">
                <a:gsLst>
                  <a:gs pos="0">
                    <a:schemeClr val="accent6">
                      <a:lumMod val="60000"/>
                      <a:tint val="96000"/>
                      <a:lumMod val="100000"/>
                    </a:schemeClr>
                  </a:gs>
                  <a:gs pos="78000">
                    <a:schemeClr val="accent6">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7-DE5C-494C-9A1C-4EB4B6C1C4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'Expense Tracker'!$H$20:$H$31</c:f>
              <c:strCache>
                <c:ptCount val="12"/>
                <c:pt idx="0">
                  <c:v>Education</c:v>
                </c:pt>
                <c:pt idx="1">
                  <c:v>Electronics</c:v>
                </c:pt>
                <c:pt idx="2">
                  <c:v>Entertainment</c:v>
                </c:pt>
                <c:pt idx="3">
                  <c:v>Fitness</c:v>
                </c:pt>
                <c:pt idx="4">
                  <c:v>Food</c:v>
                </c:pt>
                <c:pt idx="5">
                  <c:v>Personal Care</c:v>
                </c:pt>
                <c:pt idx="6">
                  <c:v>Shopping</c:v>
                </c:pt>
                <c:pt idx="7">
                  <c:v>Transport</c:v>
                </c:pt>
                <c:pt idx="8">
                  <c:v>Utilities</c:v>
                </c:pt>
                <c:pt idx="9">
                  <c:v>Travel</c:v>
                </c:pt>
                <c:pt idx="10">
                  <c:v>Sports</c:v>
                </c:pt>
                <c:pt idx="11">
                  <c:v>Accessories</c:v>
                </c:pt>
              </c:strCache>
            </c:strRef>
          </c:cat>
          <c:val>
            <c:numRef>
              <c:f>'Expense Tracker'!$I$20:$I$31</c:f>
              <c:numCache>
                <c:formatCode>_ [$₹-4009]\ * #,##0.00_ ;_ [$₹-4009]\ * \-#,##0.00_ ;_ [$₹-4009]\ * "-"??_ ;_ @_ </c:formatCode>
                <c:ptCount val="12"/>
                <c:pt idx="0">
                  <c:v>619</c:v>
                </c:pt>
                <c:pt idx="1">
                  <c:v>3347</c:v>
                </c:pt>
                <c:pt idx="2">
                  <c:v>999</c:v>
                </c:pt>
                <c:pt idx="3">
                  <c:v>3400</c:v>
                </c:pt>
                <c:pt idx="4">
                  <c:v>3084</c:v>
                </c:pt>
                <c:pt idx="5">
                  <c:v>580</c:v>
                </c:pt>
                <c:pt idx="6">
                  <c:v>3748</c:v>
                </c:pt>
                <c:pt idx="7">
                  <c:v>3140</c:v>
                </c:pt>
                <c:pt idx="8">
                  <c:v>3399</c:v>
                </c:pt>
                <c:pt idx="9">
                  <c:v>780</c:v>
                </c:pt>
                <c:pt idx="10">
                  <c:v>180</c:v>
                </c:pt>
                <c:pt idx="11">
                  <c:v>450</c:v>
                </c:pt>
              </c:numCache>
            </c:numRef>
          </c:val>
          <c:extLst>
            <c:ext xmlns:c16="http://schemas.microsoft.com/office/drawing/2014/chart" uri="{C3380CC4-5D6E-409C-BE32-E72D297353CC}">
              <c16:uniqueId val="{00000000-4F13-4C95-8EFC-0591BF0492E3}"/>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Tables'!$Y$8</c:f>
              <c:strCache>
                <c:ptCount val="1"/>
                <c:pt idx="0">
                  <c:v>Total</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'Pivot Tables'!$X$9:$X$21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Tables'!$Y$9:$Y$21</c:f>
              <c:numCache>
                <c:formatCode>General</c:formatCode>
                <c:ptCount val="12"/>
                <c:pt idx="0">
                  <c:v>59880.899999999994</c:v>
                </c:pt>
                <c:pt idx="1">
                  <c:v>43409.200000000004</c:v>
                </c:pt>
                <c:pt idx="2">
                  <c:v>45592.060000000005</c:v>
                </c:pt>
                <c:pt idx="3">
                  <c:v>8417.51</c:v>
                </c:pt>
                <c:pt idx="4">
                  <c:v>42683.039999999994</c:v>
                </c:pt>
                <c:pt idx="5">
                  <c:v>37935.56</c:v>
                </c:pt>
                <c:pt idx="6">
                  <c:v>19600.039999999997</c:v>
                </c:pt>
                <c:pt idx="7">
                  <c:v>17005.5</c:v>
                </c:pt>
                <c:pt idx="8">
                  <c:v>46822.04</c:v>
                </c:pt>
                <c:pt idx="9">
                  <c:v>36769.22</c:v>
                </c:pt>
                <c:pt idx="10">
                  <c:v>71326.75</c:v>
                </c:pt>
                <c:pt idx="11">
                  <c:v>35586.400000000001</c:v>
                </c:pt>
              </c:numCache>
            </c:numRef>
          </c:val>
          <c:smooth val="0"/>
          <c:extLst>
            <c:ext xmlns:c16="http://schemas.microsoft.com/office/drawing/2014/chart" uri="{C3380CC4-5D6E-409C-BE32-E72D297353CC}">
              <c16:uniqueId val="{00000000-1372-4378-9F9C-2C65595C8CD3}"/>
            </c:ext>
          </c:extLst>
        </c:ser>
        <c:dLbls>
          <c:showLegendKey val="0"/>
          <c:showVal val="0"/>
          <c:showCatName val="0"/>
          <c:showSerName val="0"/>
          <c:showPercent val="0"/>
          <c:showBubbleSize val="0"/>
        </c:dLbls>
        <c:marker val="1"/>
        <c:smooth val="0"/>
        <c:axId val="1387744736"/>
        <c:axId val="1387743776"/>
      </c:lineChart>
      <c:catAx>
        <c:axId val="1387744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43776"/>
        <c:crosses val="autoZero"/>
        <c:auto val="1"/>
        <c:lblAlgn val="ctr"/>
        <c:lblOffset val="100"/>
        <c:noMultiLvlLbl val="0"/>
      </c:catAx>
      <c:valAx>
        <c:axId val="1387743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Tables'!$AF$18</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Tables'!$AE$19:$AE$23</c:f>
              <c:strCache>
                <c:ptCount val="4"/>
                <c:pt idx="0">
                  <c:v>East</c:v>
                </c:pt>
                <c:pt idx="1">
                  <c:v>North</c:v>
                </c:pt>
                <c:pt idx="2">
                  <c:v>South</c:v>
                </c:pt>
                <c:pt idx="3">
                  <c:v>West</c:v>
                </c:pt>
              </c:strCache>
            </c:strRef>
          </c:cat>
          <c:val>
            <c:numRef>
              <c:f>'Pivot Tables'!$AF$19:$AF$23</c:f>
              <c:numCache>
                <c:formatCode>General</c:formatCode>
                <c:ptCount val="4"/>
                <c:pt idx="0">
                  <c:v>136555.76000000004</c:v>
                </c:pt>
                <c:pt idx="1">
                  <c:v>122850.72999999998</c:v>
                </c:pt>
                <c:pt idx="2">
                  <c:v>97543.449999999983</c:v>
                </c:pt>
                <c:pt idx="3">
                  <c:v>108078.27999999998</c:v>
                </c:pt>
              </c:numCache>
            </c:numRef>
          </c:val>
          <c:extLst>
            <c:ext xmlns:c16="http://schemas.microsoft.com/office/drawing/2014/chart" uri="{C3380CC4-5D6E-409C-BE32-E72D297353CC}">
              <c16:uniqueId val="{00000000-647D-4588-94CA-6847221913C8}"/>
            </c:ext>
          </c:extLst>
        </c:ser>
        <c:dLbls>
          <c:showLegendKey val="0"/>
          <c:showVal val="0"/>
          <c:showCatName val="0"/>
          <c:showSerName val="0"/>
          <c:showPercent val="0"/>
          <c:showBubbleSize val="0"/>
        </c:dLbls>
        <c:gapWidth val="150"/>
        <c:axId val="1390922032"/>
        <c:axId val="1263015984"/>
      </c:barChart>
      <c:catAx>
        <c:axId val="1390922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15984"/>
        <c:crosses val="autoZero"/>
        <c:auto val="1"/>
        <c:lblAlgn val="ctr"/>
        <c:lblOffset val="100"/>
        <c:noMultiLvlLbl val="0"/>
      </c:catAx>
      <c:valAx>
        <c:axId val="1263015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Tables'!$AC$28</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Tables'!$AB$29:$AB$33</c:f>
              <c:strCache>
                <c:ptCount val="4"/>
                <c:pt idx="0">
                  <c:v>Clothing</c:v>
                </c:pt>
                <c:pt idx="1">
                  <c:v>Electronics</c:v>
                </c:pt>
                <c:pt idx="2">
                  <c:v>Food</c:v>
                </c:pt>
                <c:pt idx="3">
                  <c:v>Furniture</c:v>
                </c:pt>
              </c:strCache>
            </c:strRef>
          </c:cat>
          <c:val>
            <c:numRef>
              <c:f>'Pivot Tables'!$AC$29:$AC$33</c:f>
              <c:numCache>
                <c:formatCode>General</c:formatCode>
                <c:ptCount val="4"/>
                <c:pt idx="0">
                  <c:v>128353.59</c:v>
                </c:pt>
                <c:pt idx="1">
                  <c:v>82097.489999999991</c:v>
                </c:pt>
                <c:pt idx="2">
                  <c:v>125832.24999999999</c:v>
                </c:pt>
                <c:pt idx="3">
                  <c:v>128744.89000000001</c:v>
                </c:pt>
              </c:numCache>
            </c:numRef>
          </c:val>
          <c:extLst>
            <c:ext xmlns:c16="http://schemas.microsoft.com/office/drawing/2014/chart" uri="{C3380CC4-5D6E-409C-BE32-E72D297353CC}">
              <c16:uniqueId val="{00000000-7BFD-4A6F-8B0D-E86A93CAFA1A}"/>
            </c:ext>
          </c:extLst>
        </c:ser>
        <c:dLbls>
          <c:showLegendKey val="0"/>
          <c:showVal val="0"/>
          <c:showCatName val="0"/>
          <c:showSerName val="0"/>
          <c:showPercent val="0"/>
          <c:showBubbleSize val="0"/>
        </c:dLbls>
        <c:gapWidth val="150"/>
        <c:axId val="1394484928"/>
        <c:axId val="1397725872"/>
      </c:barChart>
      <c:catAx>
        <c:axId val="13944849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25872"/>
        <c:crosses val="autoZero"/>
        <c:auto val="1"/>
        <c:lblAlgn val="ctr"/>
        <c:lblOffset val="100"/>
        <c:noMultiLvlLbl val="0"/>
      </c:catAx>
      <c:valAx>
        <c:axId val="139772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48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Method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Tables'!$AF$8</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cat>
            <c:strRef>
              <c:f>'Pivot Tables'!$AE$9:$AE$12</c:f>
              <c:strCache>
                <c:ptCount val="3"/>
                <c:pt idx="0">
                  <c:v>Bank Transfer</c:v>
                </c:pt>
                <c:pt idx="1">
                  <c:v>Cash</c:v>
                </c:pt>
                <c:pt idx="2">
                  <c:v>Credit Card</c:v>
                </c:pt>
              </c:strCache>
            </c:strRef>
          </c:cat>
          <c:val>
            <c:numRef>
              <c:f>'Pivot Tables'!$AF$9:$AF$12</c:f>
              <c:numCache>
                <c:formatCode>General</c:formatCode>
                <c:ptCount val="3"/>
                <c:pt idx="0">
                  <c:v>207587.16000000009</c:v>
                </c:pt>
                <c:pt idx="1">
                  <c:v>117172.93999999997</c:v>
                </c:pt>
                <c:pt idx="2">
                  <c:v>140268.12</c:v>
                </c:pt>
              </c:numCache>
            </c:numRef>
          </c:val>
          <c:extLst>
            <c:ext xmlns:c16="http://schemas.microsoft.com/office/drawing/2014/chart" uri="{C3380CC4-5D6E-409C-BE32-E72D297353CC}">
              <c16:uniqueId val="{00000000-3330-4343-AF53-505540BD84D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Tracker.xlsx]Sheet8!PivotTable6</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Channel</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Sheet8!$B$3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7D-4F52-BA2E-3899A6C2FA6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17D-4F52-BA2E-3899A6C2FA6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Sheet8!$A$4:$A$6</c:f>
              <c:strCache>
                <c:ptCount val="2"/>
                <c:pt idx="0">
                  <c:v>Online</c:v>
                </c:pt>
                <c:pt idx="1">
                  <c:v>Retail</c:v>
                </c:pt>
              </c:strCache>
            </c:strRef>
          </c:cat>
          <c:val>
            <c:numRef>
              <c:f>Sheet8!$B$4:$B$6</c:f>
              <c:numCache>
                <c:formatCode>General</c:formatCode>
                <c:ptCount val="2"/>
                <c:pt idx="0">
                  <c:v>226359.01000000004</c:v>
                </c:pt>
                <c:pt idx="1">
                  <c:v>238669.21000000008</c:v>
                </c:pt>
              </c:numCache>
            </c:numRef>
          </c:val>
          <c:extLst>
            <c:ext xmlns:c16="http://schemas.microsoft.com/office/drawing/2014/chart" uri="{C3380CC4-5D6E-409C-BE32-E72D297353CC}">
              <c16:uniqueId val="{00000000-717D-4F52-BA2E-3899A6C2FA63}"/>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Tables'!$Y$8</c:f>
              <c:strCache>
                <c:ptCount val="1"/>
                <c:pt idx="0">
                  <c:v>Total</c:v>
                </c:pt>
              </c:strCache>
            </c:strRef>
          </c:tx>
          <c:spPr>
            <a:ln w="28575" cap="rnd">
              <a:solidFill>
                <a:schemeClr val="accent1"/>
              </a:solidFill>
              <a:round/>
            </a:ln>
            <a:effectLst/>
          </c:spPr>
          <c:marker>
            <c:symbol val="none"/>
          </c:marker>
          <c:cat>
            <c:strRef>
              <c:f>'Pivot Tables'!$X$9:$X$21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Tables'!$Y$9:$Y$21</c:f>
              <c:numCache>
                <c:formatCode>General</c:formatCode>
                <c:ptCount val="12"/>
                <c:pt idx="0">
                  <c:v>59880.899999999994</c:v>
                </c:pt>
                <c:pt idx="1">
                  <c:v>43409.200000000004</c:v>
                </c:pt>
                <c:pt idx="2">
                  <c:v>45592.060000000005</c:v>
                </c:pt>
                <c:pt idx="3">
                  <c:v>8417.51</c:v>
                </c:pt>
                <c:pt idx="4">
                  <c:v>42683.039999999994</c:v>
                </c:pt>
                <c:pt idx="5">
                  <c:v>37935.56</c:v>
                </c:pt>
                <c:pt idx="6">
                  <c:v>19600.039999999997</c:v>
                </c:pt>
                <c:pt idx="7">
                  <c:v>17005.5</c:v>
                </c:pt>
                <c:pt idx="8">
                  <c:v>46822.04</c:v>
                </c:pt>
                <c:pt idx="9">
                  <c:v>36769.22</c:v>
                </c:pt>
                <c:pt idx="10">
                  <c:v>71326.75</c:v>
                </c:pt>
                <c:pt idx="11">
                  <c:v>35586.400000000001</c:v>
                </c:pt>
              </c:numCache>
            </c:numRef>
          </c:val>
          <c:smooth val="0"/>
          <c:extLst>
            <c:ext xmlns:c16="http://schemas.microsoft.com/office/drawing/2014/chart" uri="{C3380CC4-5D6E-409C-BE32-E72D297353CC}">
              <c16:uniqueId val="{00000000-37A7-4E4D-83DD-FA1BC5C3C39D}"/>
            </c:ext>
          </c:extLst>
        </c:ser>
        <c:dLbls>
          <c:showLegendKey val="0"/>
          <c:showVal val="0"/>
          <c:showCatName val="0"/>
          <c:showSerName val="0"/>
          <c:showPercent val="0"/>
          <c:showBubbleSize val="0"/>
        </c:dLbls>
        <c:smooth val="0"/>
        <c:axId val="1387744736"/>
        <c:axId val="1387743776"/>
      </c:lineChart>
      <c:catAx>
        <c:axId val="138774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43776"/>
        <c:crosses val="autoZero"/>
        <c:auto val="1"/>
        <c:lblAlgn val="ctr"/>
        <c:lblOffset val="100"/>
        <c:noMultiLvlLbl val="0"/>
      </c:catAx>
      <c:valAx>
        <c:axId val="138774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4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Tables'!$AF$18</c:f>
              <c:strCache>
                <c:ptCount val="1"/>
                <c:pt idx="0">
                  <c:v>Total</c:v>
                </c:pt>
              </c:strCache>
            </c:strRef>
          </c:tx>
          <c:spPr>
            <a:ln w="28575" cap="rnd">
              <a:solidFill>
                <a:schemeClr val="accent1"/>
              </a:solidFill>
              <a:round/>
            </a:ln>
            <a:effectLst/>
          </c:spPr>
          <c:marker>
            <c:symbol val="none"/>
          </c:marker>
          <c:cat>
            <c:strRef>
              <c:f>'Pivot Tables'!$AE$19:$AE$23</c:f>
              <c:strCache>
                <c:ptCount val="4"/>
                <c:pt idx="0">
                  <c:v>East</c:v>
                </c:pt>
                <c:pt idx="1">
                  <c:v>North</c:v>
                </c:pt>
                <c:pt idx="2">
                  <c:v>South</c:v>
                </c:pt>
                <c:pt idx="3">
                  <c:v>West</c:v>
                </c:pt>
              </c:strCache>
            </c:strRef>
          </c:cat>
          <c:val>
            <c:numRef>
              <c:f>'Pivot Tables'!$AF$19:$AF$23</c:f>
              <c:numCache>
                <c:formatCode>General</c:formatCode>
                <c:ptCount val="4"/>
                <c:pt idx="0">
                  <c:v>136555.76000000004</c:v>
                </c:pt>
                <c:pt idx="1">
                  <c:v>122850.72999999998</c:v>
                </c:pt>
                <c:pt idx="2">
                  <c:v>97543.449999999983</c:v>
                </c:pt>
                <c:pt idx="3">
                  <c:v>108078.27999999998</c:v>
                </c:pt>
              </c:numCache>
            </c:numRef>
          </c:val>
          <c:smooth val="0"/>
          <c:extLst>
            <c:ext xmlns:c16="http://schemas.microsoft.com/office/drawing/2014/chart" uri="{C3380CC4-5D6E-409C-BE32-E72D297353CC}">
              <c16:uniqueId val="{00000000-D2C5-4324-B9A7-F2BE0850E89D}"/>
            </c:ext>
          </c:extLst>
        </c:ser>
        <c:dLbls>
          <c:showLegendKey val="0"/>
          <c:showVal val="0"/>
          <c:showCatName val="0"/>
          <c:showSerName val="0"/>
          <c:showPercent val="0"/>
          <c:showBubbleSize val="0"/>
        </c:dLbls>
        <c:smooth val="0"/>
        <c:axId val="1390922032"/>
        <c:axId val="1263015984"/>
      </c:lineChart>
      <c:catAx>
        <c:axId val="139092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15984"/>
        <c:crosses val="autoZero"/>
        <c:auto val="1"/>
        <c:lblAlgn val="ctr"/>
        <c:lblOffset val="100"/>
        <c:noMultiLvlLbl val="0"/>
      </c:catAx>
      <c:valAx>
        <c:axId val="126301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2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Tables'!$AC$28</c:f>
              <c:strCache>
                <c:ptCount val="1"/>
                <c:pt idx="0">
                  <c:v>Total</c:v>
                </c:pt>
              </c:strCache>
            </c:strRef>
          </c:tx>
          <c:spPr>
            <a:ln w="28575" cap="rnd">
              <a:solidFill>
                <a:schemeClr val="accent1"/>
              </a:solidFill>
              <a:round/>
            </a:ln>
            <a:effectLst/>
          </c:spPr>
          <c:marker>
            <c:symbol val="none"/>
          </c:marker>
          <c:cat>
            <c:strRef>
              <c:f>'Pivot Tables'!$AB$29:$AB$33</c:f>
              <c:strCache>
                <c:ptCount val="4"/>
                <c:pt idx="0">
                  <c:v>Clothing</c:v>
                </c:pt>
                <c:pt idx="1">
                  <c:v>Electronics</c:v>
                </c:pt>
                <c:pt idx="2">
                  <c:v>Food</c:v>
                </c:pt>
                <c:pt idx="3">
                  <c:v>Furniture</c:v>
                </c:pt>
              </c:strCache>
            </c:strRef>
          </c:cat>
          <c:val>
            <c:numRef>
              <c:f>'Pivot Tables'!$AC$29:$AC$33</c:f>
              <c:numCache>
                <c:formatCode>General</c:formatCode>
                <c:ptCount val="4"/>
                <c:pt idx="0">
                  <c:v>128353.59</c:v>
                </c:pt>
                <c:pt idx="1">
                  <c:v>82097.489999999991</c:v>
                </c:pt>
                <c:pt idx="2">
                  <c:v>125832.24999999999</c:v>
                </c:pt>
                <c:pt idx="3">
                  <c:v>128744.89000000001</c:v>
                </c:pt>
              </c:numCache>
            </c:numRef>
          </c:val>
          <c:smooth val="0"/>
          <c:extLst>
            <c:ext xmlns:c16="http://schemas.microsoft.com/office/drawing/2014/chart" uri="{C3380CC4-5D6E-409C-BE32-E72D297353CC}">
              <c16:uniqueId val="{00000000-45B4-4A03-AC1A-15FC15F3CC6F}"/>
            </c:ext>
          </c:extLst>
        </c:ser>
        <c:dLbls>
          <c:showLegendKey val="0"/>
          <c:showVal val="0"/>
          <c:showCatName val="0"/>
          <c:showSerName val="0"/>
          <c:showPercent val="0"/>
          <c:showBubbleSize val="0"/>
        </c:dLbls>
        <c:smooth val="0"/>
        <c:axId val="1394484928"/>
        <c:axId val="1397725872"/>
      </c:lineChart>
      <c:catAx>
        <c:axId val="139448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25872"/>
        <c:crosses val="autoZero"/>
        <c:auto val="1"/>
        <c:lblAlgn val="ctr"/>
        <c:lblOffset val="100"/>
        <c:noMultiLvlLbl val="0"/>
      </c:catAx>
      <c:valAx>
        <c:axId val="139772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48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Tracker.xlsx]Pivot Tables!PivotTable5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Tables'!$AF$8</c:f>
              <c:strCache>
                <c:ptCount val="1"/>
                <c:pt idx="0">
                  <c:v>Total</c:v>
                </c:pt>
              </c:strCache>
            </c:strRef>
          </c:tx>
          <c:spPr>
            <a:ln w="28575" cap="rnd">
              <a:solidFill>
                <a:schemeClr val="accent1"/>
              </a:solidFill>
              <a:round/>
            </a:ln>
            <a:effectLst/>
          </c:spPr>
          <c:marker>
            <c:symbol val="none"/>
          </c:marker>
          <c:cat>
            <c:strRef>
              <c:f>'Pivot Tables'!$AE$9:$AE$12</c:f>
              <c:strCache>
                <c:ptCount val="3"/>
                <c:pt idx="0">
                  <c:v>Bank Transfer</c:v>
                </c:pt>
                <c:pt idx="1">
                  <c:v>Cash</c:v>
                </c:pt>
                <c:pt idx="2">
                  <c:v>Credit Card</c:v>
                </c:pt>
              </c:strCache>
            </c:strRef>
          </c:cat>
          <c:val>
            <c:numRef>
              <c:f>'Pivot Tables'!$AF$9:$AF$12</c:f>
              <c:numCache>
                <c:formatCode>General</c:formatCode>
                <c:ptCount val="3"/>
                <c:pt idx="0">
                  <c:v>207587.16000000009</c:v>
                </c:pt>
                <c:pt idx="1">
                  <c:v>117172.93999999997</c:v>
                </c:pt>
                <c:pt idx="2">
                  <c:v>140268.12</c:v>
                </c:pt>
              </c:numCache>
            </c:numRef>
          </c:val>
          <c:smooth val="0"/>
          <c:extLst>
            <c:ext xmlns:c16="http://schemas.microsoft.com/office/drawing/2014/chart" uri="{C3380CC4-5D6E-409C-BE32-E72D297353CC}">
              <c16:uniqueId val="{00000000-CB52-40E5-B031-A036A05FC6FA}"/>
            </c:ext>
          </c:extLst>
        </c:ser>
        <c:dLbls>
          <c:showLegendKey val="0"/>
          <c:showVal val="0"/>
          <c:showCatName val="0"/>
          <c:showSerName val="0"/>
          <c:showPercent val="0"/>
          <c:showBubbleSize val="0"/>
        </c:dLbls>
        <c:smooth val="0"/>
        <c:axId val="1545731088"/>
        <c:axId val="1695724608"/>
      </c:lineChart>
      <c:catAx>
        <c:axId val="154573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24608"/>
        <c:crosses val="autoZero"/>
        <c:auto val="1"/>
        <c:lblAlgn val="ctr"/>
        <c:lblOffset val="100"/>
        <c:noMultiLvlLbl val="0"/>
      </c:catAx>
      <c:valAx>
        <c:axId val="169572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3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Tracker.xlsx]Sheet8!PivotTable6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strRef>
              <c:f>Sheet8!$A$4:$A$6</c:f>
              <c:strCache>
                <c:ptCount val="2"/>
                <c:pt idx="0">
                  <c:v>Online</c:v>
                </c:pt>
                <c:pt idx="1">
                  <c:v>Retail</c:v>
                </c:pt>
              </c:strCache>
            </c:strRef>
          </c:cat>
          <c:val>
            <c:numRef>
              <c:f>Sheet8!$B$4:$B$6</c:f>
              <c:numCache>
                <c:formatCode>General</c:formatCode>
                <c:ptCount val="2"/>
                <c:pt idx="0">
                  <c:v>226359.01000000004</c:v>
                </c:pt>
                <c:pt idx="1">
                  <c:v>238669.21000000008</c:v>
                </c:pt>
              </c:numCache>
            </c:numRef>
          </c:val>
          <c:smooth val="0"/>
          <c:extLst>
            <c:ext xmlns:c16="http://schemas.microsoft.com/office/drawing/2014/chart" uri="{C3380CC4-5D6E-409C-BE32-E72D297353CC}">
              <c16:uniqueId val="{00000000-DDCB-46A9-9B00-28B1A1ADE3AC}"/>
            </c:ext>
          </c:extLst>
        </c:ser>
        <c:dLbls>
          <c:showLegendKey val="0"/>
          <c:showVal val="0"/>
          <c:showCatName val="0"/>
          <c:showSerName val="0"/>
          <c:showPercent val="0"/>
          <c:showBubbleSize val="0"/>
        </c:dLbls>
        <c:smooth val="0"/>
        <c:axId val="697511023"/>
        <c:axId val="697511503"/>
      </c:lineChart>
      <c:catAx>
        <c:axId val="69751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511503"/>
        <c:crosses val="autoZero"/>
        <c:auto val="1"/>
        <c:lblAlgn val="ctr"/>
        <c:lblOffset val="100"/>
        <c:noMultiLvlLbl val="0"/>
      </c:catAx>
      <c:valAx>
        <c:axId val="69751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51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1.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7.png"/><Relationship Id="rId12" Type="http://schemas.openxmlformats.org/officeDocument/2006/relationships/customXml" Target="../ink/ink6.xml"/><Relationship Id="rId2" Type="http://schemas.openxmlformats.org/officeDocument/2006/relationships/customXml" Target="../ink/ink1.xml"/><Relationship Id="rId1" Type="http://schemas.openxmlformats.org/officeDocument/2006/relationships/image" Target="../media/image14.png"/><Relationship Id="rId6" Type="http://schemas.openxmlformats.org/officeDocument/2006/relationships/customXml" Target="../ink/ink3.xml"/><Relationship Id="rId11" Type="http://schemas.openxmlformats.org/officeDocument/2006/relationships/image" Target="../media/image19.png"/><Relationship Id="rId5" Type="http://schemas.openxmlformats.org/officeDocument/2006/relationships/image" Target="../media/image16.png"/><Relationship Id="rId15" Type="http://schemas.openxmlformats.org/officeDocument/2006/relationships/image" Target="../media/image21.png"/><Relationship Id="rId10" Type="http://schemas.openxmlformats.org/officeDocument/2006/relationships/customXml" Target="../ink/ink5.xml"/><Relationship Id="rId4" Type="http://schemas.openxmlformats.org/officeDocument/2006/relationships/customXml" Target="../ink/ink2.xml"/><Relationship Id="rId9" Type="http://schemas.openxmlformats.org/officeDocument/2006/relationships/image" Target="../media/image18.png"/><Relationship Id="rId14" Type="http://schemas.openxmlformats.org/officeDocument/2006/relationships/customXml" Target="../ink/ink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7.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2.png"/><Relationship Id="rId7" Type="http://schemas.openxmlformats.org/officeDocument/2006/relationships/image" Target="../media/image25.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24.png"/><Relationship Id="rId11" Type="http://schemas.openxmlformats.org/officeDocument/2006/relationships/image" Target="../media/image28.png"/><Relationship Id="rId5" Type="http://schemas.openxmlformats.org/officeDocument/2006/relationships/image" Target="../media/image23.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27.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12</xdr:col>
      <xdr:colOff>2793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97230" y="1009672"/>
          <a:ext cx="2550795" cy="56512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984627" y="996971"/>
          <a:ext cx="2889249" cy="62863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33528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88900</xdr:rowOff>
    </xdr:from>
    <xdr:to>
      <xdr:col>12</xdr:col>
      <xdr:colOff>209169</xdr:colOff>
      <xdr:row>22</xdr:row>
      <xdr:rowOff>177800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442214</xdr:colOff>
      <xdr:row>20</xdr:row>
      <xdr:rowOff>59326</xdr:rowOff>
    </xdr:from>
    <xdr:to>
      <xdr:col>11</xdr:col>
      <xdr:colOff>466534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559117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9526</xdr:colOff>
      <xdr:row>5</xdr:row>
      <xdr:rowOff>88922</xdr:rowOff>
    </xdr:from>
    <xdr:to>
      <xdr:col>11</xdr:col>
      <xdr:colOff>102061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927476" y="1009672"/>
          <a:ext cx="3356435" cy="61593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743324" y="981098"/>
          <a:ext cx="3643775" cy="64450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60399" y="1006497"/>
          <a:ext cx="2562225" cy="61910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362322" y="1666880"/>
          <a:ext cx="2574928" cy="146049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65506" y="1123950"/>
          <a:ext cx="548914" cy="53464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38328" y="1124568"/>
          <a:ext cx="692147" cy="53340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960601" y="1124568"/>
          <a:ext cx="628647" cy="53340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619376" y="1124568"/>
          <a:ext cx="600072" cy="53340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4041775" y="1298575"/>
          <a:ext cx="3194050" cy="182880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917825" y="1079500"/>
          <a:ext cx="2813051" cy="81723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733801" y="1047749"/>
          <a:ext cx="3534391" cy="60960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88975" y="1123950"/>
          <a:ext cx="2863850" cy="70076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556125" y="1123950"/>
          <a:ext cx="2817813" cy="70076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680339</xdr:colOff>
      <xdr:row>20</xdr:row>
      <xdr:rowOff>59326</xdr:rowOff>
    </xdr:from>
    <xdr:to>
      <xdr:col>10</xdr:col>
      <xdr:colOff>355917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90488</xdr:colOff>
      <xdr:row>6</xdr:row>
      <xdr:rowOff>66675</xdr:rowOff>
    </xdr:from>
    <xdr:to>
      <xdr:col>9</xdr:col>
      <xdr:colOff>66675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754688" y="1171575"/>
          <a:ext cx="928687" cy="67219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209800" y="1171575"/>
          <a:ext cx="3015981" cy="94429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42863</xdr:colOff>
      <xdr:row>5</xdr:row>
      <xdr:rowOff>57150</xdr:rowOff>
    </xdr:from>
    <xdr:to>
      <xdr:col>9</xdr:col>
      <xdr:colOff>66675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707063" y="977900"/>
          <a:ext cx="976312" cy="67219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162175" y="977900"/>
          <a:ext cx="3015981" cy="94429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677164</xdr:colOff>
      <xdr:row>20</xdr:row>
      <xdr:rowOff>59326</xdr:rowOff>
    </xdr:from>
    <xdr:to>
      <xdr:col>10</xdr:col>
      <xdr:colOff>364934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309563</xdr:colOff>
      <xdr:row>6</xdr:row>
      <xdr:rowOff>95250</xdr:rowOff>
    </xdr:from>
    <xdr:to>
      <xdr:col>9</xdr:col>
      <xdr:colOff>285750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973763" y="1200150"/>
          <a:ext cx="928687" cy="46264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52388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727575" y="1200150"/>
          <a:ext cx="989013" cy="46264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56003" y="1154792"/>
          <a:ext cx="2571020" cy="50482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192838" y="1143000"/>
          <a:ext cx="928687" cy="46899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289426" y="1143000"/>
          <a:ext cx="1770062" cy="46899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931882" y="1635125"/>
          <a:ext cx="2591714" cy="134935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25601"/>
          <a:ext cx="1905001" cy="103954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82349" y="1809749"/>
          <a:ext cx="3172151" cy="223837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2</xdr:col>
      <xdr:colOff>601980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231900" y="1289050"/>
          <a:ext cx="2732087" cy="70076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356807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203581</xdr:colOff>
      <xdr:row>34</xdr:row>
      <xdr:rowOff>148225</xdr:rowOff>
    </xdr:from>
    <xdr:to>
      <xdr:col>9</xdr:col>
      <xdr:colOff>439547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2</xdr:col>
      <xdr:colOff>603567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515937</xdr:colOff>
      <xdr:row>5</xdr:row>
      <xdr:rowOff>133351</xdr:rowOff>
    </xdr:from>
    <xdr:to>
      <xdr:col>9</xdr:col>
      <xdr:colOff>554038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395287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486025" y="1374775"/>
          <a:ext cx="1554162" cy="62456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63599" y="1365250"/>
          <a:ext cx="1479549" cy="63409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428244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641731</xdr:colOff>
      <xdr:row>32</xdr:row>
      <xdr:rowOff>135525</xdr:rowOff>
    </xdr:from>
    <xdr:to>
      <xdr:col>9</xdr:col>
      <xdr:colOff>934847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428244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596900"/>
          <a:ext cx="1911351" cy="137795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91267" y="596900"/>
          <a:ext cx="1879601" cy="173989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587375</xdr:colOff>
      <xdr:row>3</xdr:row>
      <xdr:rowOff>47625</xdr:rowOff>
    </xdr:from>
    <xdr:to>
      <xdr:col>10</xdr:col>
      <xdr:colOff>514350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289675" y="600075"/>
          <a:ext cx="1939925" cy="137477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495300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057650" y="600075"/>
          <a:ext cx="2139950" cy="86042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35025" y="4714875"/>
          <a:ext cx="6537325" cy="121602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5064125" y="2108200"/>
          <a:ext cx="1673225" cy="238760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706276</xdr:colOff>
      <xdr:row>67</xdr:row>
      <xdr:rowOff>32399</xdr:rowOff>
    </xdr:from>
    <xdr:to>
      <xdr:col>12</xdr:col>
      <xdr:colOff>414893</xdr:colOff>
      <xdr:row>83</xdr:row>
      <xdr:rowOff>31641</xdr:rowOff>
    </xdr:to>
    <xdr:pic>
      <xdr:nvPicPr>
        <xdr:cNvPr id="2" name="Picture 1">
          <a:extLst>
            <a:ext uri="{FF2B5EF4-FFF2-40B4-BE49-F238E27FC236}">
              <a16:creationId xmlns:a16="http://schemas.microsoft.com/office/drawing/2014/main" id="{420DC069-DBF5-18ED-03CF-D89BAEED26DC}"/>
            </a:ext>
          </a:extLst>
        </xdr:cNvPr>
        <xdr:cNvPicPr>
          <a:picLocks noChangeAspect="1"/>
        </xdr:cNvPicPr>
      </xdr:nvPicPr>
      <xdr:blipFill>
        <a:blip xmlns:r="http://schemas.openxmlformats.org/officeDocument/2006/relationships" r:embed="rId1"/>
        <a:stretch>
          <a:fillRect/>
        </a:stretch>
      </xdr:blipFill>
      <xdr:spPr>
        <a:xfrm>
          <a:off x="706276" y="12188113"/>
          <a:ext cx="8903158" cy="2902099"/>
        </a:xfrm>
        <a:prstGeom prst="rect">
          <a:avLst/>
        </a:prstGeom>
      </xdr:spPr>
    </xdr:pic>
    <xdr:clientData/>
  </xdr:twoCellAnchor>
  <xdr:twoCellAnchor editAs="oneCell">
    <xdr:from>
      <xdr:col>5</xdr:col>
      <xdr:colOff>660502</xdr:colOff>
      <xdr:row>71</xdr:row>
      <xdr:rowOff>96177</xdr:rowOff>
    </xdr:from>
    <xdr:to>
      <xdr:col>9</xdr:col>
      <xdr:colOff>346840</xdr:colOff>
      <xdr:row>71</xdr:row>
      <xdr:rowOff>103737</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Ink 3">
              <a:extLst>
                <a:ext uri="{FF2B5EF4-FFF2-40B4-BE49-F238E27FC236}">
                  <a16:creationId xmlns:a16="http://schemas.microsoft.com/office/drawing/2014/main" id="{2993211D-B485-8431-5727-AD9E98603498}"/>
                </a:ext>
              </a:extLst>
            </xdr14:cNvPr>
            <xdr14:cNvContentPartPr/>
          </xdr14:nvContentPartPr>
          <xdr14:nvPr macro=""/>
          <xdr14:xfrm>
            <a:off x="4813920" y="12977606"/>
            <a:ext cx="2178000" cy="7560"/>
          </xdr14:xfrm>
        </xdr:contentPart>
      </mc:Choice>
      <mc:Fallback xmlns="">
        <xdr:pic>
          <xdr:nvPicPr>
            <xdr:cNvPr id="4" name="Ink 3">
              <a:extLst>
                <a:ext uri="{FF2B5EF4-FFF2-40B4-BE49-F238E27FC236}">
                  <a16:creationId xmlns:a16="http://schemas.microsoft.com/office/drawing/2014/main" id="{2993211D-B485-8431-5727-AD9E98603498}"/>
                </a:ext>
              </a:extLst>
            </xdr:cNvPr>
            <xdr:cNvPicPr/>
          </xdr:nvPicPr>
          <xdr:blipFill>
            <a:blip xmlns:r="http://schemas.openxmlformats.org/officeDocument/2006/relationships" r:embed="rId3"/>
            <a:stretch>
              <a:fillRect/>
            </a:stretch>
          </xdr:blipFill>
          <xdr:spPr>
            <a:xfrm>
              <a:off x="4796280" y="12959966"/>
              <a:ext cx="2213640" cy="43200"/>
            </a:xfrm>
            <a:prstGeom prst="rect">
              <a:avLst/>
            </a:prstGeom>
          </xdr:spPr>
        </xdr:pic>
      </mc:Fallback>
    </mc:AlternateContent>
    <xdr:clientData/>
  </xdr:twoCellAnchor>
  <xdr:twoCellAnchor editAs="oneCell">
    <xdr:from>
      <xdr:col>4</xdr:col>
      <xdr:colOff>602480</xdr:colOff>
      <xdr:row>73</xdr:row>
      <xdr:rowOff>32120</xdr:rowOff>
    </xdr:from>
    <xdr:to>
      <xdr:col>10</xdr:col>
      <xdr:colOff>195189</xdr:colOff>
      <xdr:row>73</xdr:row>
      <xdr:rowOff>32840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7" name="Ink 6">
              <a:extLst>
                <a:ext uri="{FF2B5EF4-FFF2-40B4-BE49-F238E27FC236}">
                  <a16:creationId xmlns:a16="http://schemas.microsoft.com/office/drawing/2014/main" id="{179C00C0-7F56-7FF5-7B32-A543D1B193D4}"/>
                </a:ext>
              </a:extLst>
            </xdr14:cNvPr>
            <xdr14:cNvContentPartPr/>
          </xdr14:nvContentPartPr>
          <xdr14:nvPr macro=""/>
          <xdr14:xfrm>
            <a:off x="3771000" y="13276406"/>
            <a:ext cx="3227760" cy="720"/>
          </xdr14:xfrm>
        </xdr:contentPart>
      </mc:Choice>
      <mc:Fallback xmlns="">
        <xdr:pic>
          <xdr:nvPicPr>
            <xdr:cNvPr id="7" name="Ink 6">
              <a:extLst>
                <a:ext uri="{FF2B5EF4-FFF2-40B4-BE49-F238E27FC236}">
                  <a16:creationId xmlns:a16="http://schemas.microsoft.com/office/drawing/2014/main" id="{179C00C0-7F56-7FF5-7B32-A543D1B193D4}"/>
                </a:ext>
              </a:extLst>
            </xdr:cNvPr>
            <xdr:cNvPicPr/>
          </xdr:nvPicPr>
          <xdr:blipFill>
            <a:blip xmlns:r="http://schemas.openxmlformats.org/officeDocument/2006/relationships" r:embed="rId5"/>
            <a:stretch>
              <a:fillRect/>
            </a:stretch>
          </xdr:blipFill>
          <xdr:spPr>
            <a:xfrm>
              <a:off x="3753000" y="13240406"/>
              <a:ext cx="3263400" cy="72000"/>
            </a:xfrm>
            <a:prstGeom prst="rect">
              <a:avLst/>
            </a:prstGeom>
          </xdr:spPr>
        </xdr:pic>
      </mc:Fallback>
    </mc:AlternateContent>
    <xdr:clientData/>
  </xdr:twoCellAnchor>
  <xdr:twoCellAnchor editAs="oneCell">
    <xdr:from>
      <xdr:col>4</xdr:col>
      <xdr:colOff>615440</xdr:colOff>
      <xdr:row>74</xdr:row>
      <xdr:rowOff>181172</xdr:rowOff>
    </xdr:from>
    <xdr:to>
      <xdr:col>13</xdr:col>
      <xdr:colOff>512465</xdr:colOff>
      <xdr:row>75</xdr:row>
      <xdr:rowOff>19903</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B3F66FB0-344E-D700-FF7F-03C8D9227ED1}"/>
                </a:ext>
              </a:extLst>
            </xdr14:cNvPr>
            <xdr14:cNvContentPartPr/>
          </xdr14:nvContentPartPr>
          <xdr14:nvPr macro=""/>
          <xdr14:xfrm>
            <a:off x="3783960" y="13606886"/>
            <a:ext cx="5359320" cy="20160"/>
          </xdr14:xfrm>
        </xdr:contentPart>
      </mc:Choice>
      <mc:Fallback xmlns="">
        <xdr:pic>
          <xdr:nvPicPr>
            <xdr:cNvPr id="8" name="Ink 7">
              <a:extLst>
                <a:ext uri="{FF2B5EF4-FFF2-40B4-BE49-F238E27FC236}">
                  <a16:creationId xmlns:a16="http://schemas.microsoft.com/office/drawing/2014/main" id="{B3F66FB0-344E-D700-FF7F-03C8D9227ED1}"/>
                </a:ext>
              </a:extLst>
            </xdr:cNvPr>
            <xdr:cNvPicPr/>
          </xdr:nvPicPr>
          <xdr:blipFill>
            <a:blip xmlns:r="http://schemas.openxmlformats.org/officeDocument/2006/relationships" r:embed="rId7"/>
            <a:stretch>
              <a:fillRect/>
            </a:stretch>
          </xdr:blipFill>
          <xdr:spPr>
            <a:xfrm>
              <a:off x="3766320" y="13589246"/>
              <a:ext cx="5394960" cy="55800"/>
            </a:xfrm>
            <a:prstGeom prst="rect">
              <a:avLst/>
            </a:prstGeom>
          </xdr:spPr>
        </xdr:pic>
      </mc:Fallback>
    </mc:AlternateContent>
    <xdr:clientData/>
  </xdr:twoCellAnchor>
  <xdr:twoCellAnchor editAs="oneCell">
    <xdr:from>
      <xdr:col>5</xdr:col>
      <xdr:colOff>693262</xdr:colOff>
      <xdr:row>76</xdr:row>
      <xdr:rowOff>122875</xdr:rowOff>
    </xdr:from>
    <xdr:to>
      <xdr:col>8</xdr:col>
      <xdr:colOff>133611</xdr:colOff>
      <xdr:row>76</xdr:row>
      <xdr:rowOff>123235</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 name="Ink 8">
              <a:extLst>
                <a:ext uri="{FF2B5EF4-FFF2-40B4-BE49-F238E27FC236}">
                  <a16:creationId xmlns:a16="http://schemas.microsoft.com/office/drawing/2014/main" id="{0187643D-36B6-6966-9E4D-129A62FED4DF}"/>
                </a:ext>
              </a:extLst>
            </xdr14:cNvPr>
            <xdr14:cNvContentPartPr/>
          </xdr14:nvContentPartPr>
          <xdr14:nvPr macro=""/>
          <xdr14:xfrm>
            <a:off x="4846680" y="13911446"/>
            <a:ext cx="1341720" cy="360"/>
          </xdr14:xfrm>
        </xdr:contentPart>
      </mc:Choice>
      <mc:Fallback xmlns="">
        <xdr:pic>
          <xdr:nvPicPr>
            <xdr:cNvPr id="9" name="Ink 8">
              <a:extLst>
                <a:ext uri="{FF2B5EF4-FFF2-40B4-BE49-F238E27FC236}">
                  <a16:creationId xmlns:a16="http://schemas.microsoft.com/office/drawing/2014/main" id="{0187643D-36B6-6966-9E4D-129A62FED4DF}"/>
                </a:ext>
              </a:extLst>
            </xdr:cNvPr>
            <xdr:cNvPicPr/>
          </xdr:nvPicPr>
          <xdr:blipFill>
            <a:blip xmlns:r="http://schemas.openxmlformats.org/officeDocument/2006/relationships" r:embed="rId9"/>
            <a:stretch>
              <a:fillRect/>
            </a:stretch>
          </xdr:blipFill>
          <xdr:spPr>
            <a:xfrm>
              <a:off x="4829040" y="13893806"/>
              <a:ext cx="1377360" cy="36000"/>
            </a:xfrm>
            <a:prstGeom prst="rect">
              <a:avLst/>
            </a:prstGeom>
          </xdr:spPr>
        </xdr:pic>
      </mc:Fallback>
    </mc:AlternateContent>
    <xdr:clientData/>
  </xdr:twoCellAnchor>
  <xdr:twoCellAnchor editAs="oneCell">
    <xdr:from>
      <xdr:col>5</xdr:col>
      <xdr:colOff>634942</xdr:colOff>
      <xdr:row>78</xdr:row>
      <xdr:rowOff>63857</xdr:rowOff>
    </xdr:from>
    <xdr:to>
      <xdr:col>7</xdr:col>
      <xdr:colOff>275677</xdr:colOff>
      <xdr:row>78</xdr:row>
      <xdr:rowOff>71417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a16="http://schemas.microsoft.com/office/drawing/2014/main" id="{A2509C7D-A14A-3693-6BA5-F8BEF4FF583C}"/>
                </a:ext>
              </a:extLst>
            </xdr14:cNvPr>
            <xdr14:cNvContentPartPr/>
          </xdr14:nvContentPartPr>
          <xdr14:nvPr macro=""/>
          <xdr14:xfrm>
            <a:off x="4788360" y="14215286"/>
            <a:ext cx="785160" cy="7560"/>
          </xdr14:xfrm>
        </xdr:contentPart>
      </mc:Choice>
      <mc:Fallback xmlns="">
        <xdr:pic>
          <xdr:nvPicPr>
            <xdr:cNvPr id="10" name="Ink 9">
              <a:extLst>
                <a:ext uri="{FF2B5EF4-FFF2-40B4-BE49-F238E27FC236}">
                  <a16:creationId xmlns:a16="http://schemas.microsoft.com/office/drawing/2014/main" id="{A2509C7D-A14A-3693-6BA5-F8BEF4FF583C}"/>
                </a:ext>
              </a:extLst>
            </xdr:cNvPr>
            <xdr:cNvPicPr/>
          </xdr:nvPicPr>
          <xdr:blipFill>
            <a:blip xmlns:r="http://schemas.openxmlformats.org/officeDocument/2006/relationships" r:embed="rId11"/>
            <a:stretch>
              <a:fillRect/>
            </a:stretch>
          </xdr:blipFill>
          <xdr:spPr>
            <a:xfrm>
              <a:off x="4770360" y="14197646"/>
              <a:ext cx="820800" cy="43200"/>
            </a:xfrm>
            <a:prstGeom prst="rect">
              <a:avLst/>
            </a:prstGeom>
          </xdr:spPr>
        </xdr:pic>
      </mc:Fallback>
    </mc:AlternateContent>
    <xdr:clientData/>
  </xdr:twoCellAnchor>
  <xdr:twoCellAnchor editAs="oneCell">
    <xdr:from>
      <xdr:col>5</xdr:col>
      <xdr:colOff>679942</xdr:colOff>
      <xdr:row>80</xdr:row>
      <xdr:rowOff>77560</xdr:rowOff>
    </xdr:from>
    <xdr:to>
      <xdr:col>8</xdr:col>
      <xdr:colOff>81871</xdr:colOff>
      <xdr:row>80</xdr:row>
      <xdr:rowOff>77920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1" name="Ink 10">
              <a:extLst>
                <a:ext uri="{FF2B5EF4-FFF2-40B4-BE49-F238E27FC236}">
                  <a16:creationId xmlns:a16="http://schemas.microsoft.com/office/drawing/2014/main" id="{155560FB-A021-2F44-45DC-A878EBD33319}"/>
                </a:ext>
              </a:extLst>
            </xdr14:cNvPr>
            <xdr14:cNvContentPartPr/>
          </xdr14:nvContentPartPr>
          <xdr14:nvPr macro=""/>
          <xdr14:xfrm>
            <a:off x="4833360" y="14591846"/>
            <a:ext cx="1290600" cy="360"/>
          </xdr14:xfrm>
        </xdr:contentPart>
      </mc:Choice>
      <mc:Fallback xmlns="">
        <xdr:pic>
          <xdr:nvPicPr>
            <xdr:cNvPr id="11" name="Ink 10">
              <a:extLst>
                <a:ext uri="{FF2B5EF4-FFF2-40B4-BE49-F238E27FC236}">
                  <a16:creationId xmlns:a16="http://schemas.microsoft.com/office/drawing/2014/main" id="{155560FB-A021-2F44-45DC-A878EBD33319}"/>
                </a:ext>
              </a:extLst>
            </xdr:cNvPr>
            <xdr:cNvPicPr/>
          </xdr:nvPicPr>
          <xdr:blipFill>
            <a:blip xmlns:r="http://schemas.openxmlformats.org/officeDocument/2006/relationships" r:embed="rId13"/>
            <a:stretch>
              <a:fillRect/>
            </a:stretch>
          </xdr:blipFill>
          <xdr:spPr>
            <a:xfrm>
              <a:off x="4815720" y="14574206"/>
              <a:ext cx="1326240" cy="36000"/>
            </a:xfrm>
            <a:prstGeom prst="rect">
              <a:avLst/>
            </a:prstGeom>
          </xdr:spPr>
        </xdr:pic>
      </mc:Fallback>
    </mc:AlternateContent>
    <xdr:clientData/>
  </xdr:twoCellAnchor>
  <xdr:twoCellAnchor editAs="oneCell">
    <xdr:from>
      <xdr:col>5</xdr:col>
      <xdr:colOff>634942</xdr:colOff>
      <xdr:row>81</xdr:row>
      <xdr:rowOff>181252</xdr:rowOff>
    </xdr:from>
    <xdr:to>
      <xdr:col>13</xdr:col>
      <xdr:colOff>2674</xdr:colOff>
      <xdr:row>82</xdr:row>
      <xdr:rowOff>183</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2" name="Ink 11">
              <a:extLst>
                <a:ext uri="{FF2B5EF4-FFF2-40B4-BE49-F238E27FC236}">
                  <a16:creationId xmlns:a16="http://schemas.microsoft.com/office/drawing/2014/main" id="{5FAC2FAD-A4BE-BB97-1290-BA8A782C3CF3}"/>
                </a:ext>
              </a:extLst>
            </xdr14:cNvPr>
            <xdr14:cNvContentPartPr/>
          </xdr14:nvContentPartPr>
          <xdr14:nvPr macro=""/>
          <xdr14:xfrm>
            <a:off x="4788360" y="14876966"/>
            <a:ext cx="4270320" cy="360"/>
          </xdr14:xfrm>
        </xdr:contentPart>
      </mc:Choice>
      <mc:Fallback xmlns="">
        <xdr:pic>
          <xdr:nvPicPr>
            <xdr:cNvPr id="12" name="Ink 11">
              <a:extLst>
                <a:ext uri="{FF2B5EF4-FFF2-40B4-BE49-F238E27FC236}">
                  <a16:creationId xmlns:a16="http://schemas.microsoft.com/office/drawing/2014/main" id="{5FAC2FAD-A4BE-BB97-1290-BA8A782C3CF3}"/>
                </a:ext>
              </a:extLst>
            </xdr:cNvPr>
            <xdr:cNvPicPr/>
          </xdr:nvPicPr>
          <xdr:blipFill>
            <a:blip xmlns:r="http://schemas.openxmlformats.org/officeDocument/2006/relationships" r:embed="rId15"/>
            <a:stretch>
              <a:fillRect/>
            </a:stretch>
          </xdr:blipFill>
          <xdr:spPr>
            <a:xfrm>
              <a:off x="4770360" y="14858966"/>
              <a:ext cx="4305960" cy="36000"/>
            </a:xfrm>
            <a:prstGeom prst="rect">
              <a:avLst/>
            </a:prstGeom>
          </xdr:spPr>
        </xdr:pic>
      </mc:Fallback>
    </mc:AlternateContent>
    <xdr:clientData/>
  </xdr:twoCellAnchor>
</xdr:wsDr>
</file>

<file path=xl/drawings/drawing22.xml><?xml version="1.0" encoding="utf-8"?>
<xdr:wsDr xmlns:xdr="http://schemas.openxmlformats.org/drawingml/2006/spreadsheetDrawing" xmlns:a="http://schemas.openxmlformats.org/drawingml/2006/main">
  <xdr:twoCellAnchor>
    <xdr:from>
      <xdr:col>5</xdr:col>
      <xdr:colOff>612775</xdr:colOff>
      <xdr:row>33</xdr:row>
      <xdr:rowOff>95250</xdr:rowOff>
    </xdr:from>
    <xdr:to>
      <xdr:col>9</xdr:col>
      <xdr:colOff>822325</xdr:colOff>
      <xdr:row>48</xdr:row>
      <xdr:rowOff>76200</xdr:rowOff>
    </xdr:to>
    <xdr:graphicFrame macro="">
      <xdr:nvGraphicFramePr>
        <xdr:cNvPr id="3" name="Chart 2">
          <a:extLst>
            <a:ext uri="{FF2B5EF4-FFF2-40B4-BE49-F238E27FC236}">
              <a16:creationId xmlns:a16="http://schemas.microsoft.com/office/drawing/2014/main" id="{E41D8F38-E4F6-44EE-D784-B21B609FE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xdr:col>
      <xdr:colOff>330241</xdr:colOff>
      <xdr:row>6</xdr:row>
      <xdr:rowOff>166269</xdr:rowOff>
    </xdr:from>
    <xdr:to>
      <xdr:col>13</xdr:col>
      <xdr:colOff>224896</xdr:colOff>
      <xdr:row>41</xdr:row>
      <xdr:rowOff>105833</xdr:rowOff>
    </xdr:to>
    <xdr:graphicFrame macro="">
      <xdr:nvGraphicFramePr>
        <xdr:cNvPr id="2" name="Chart 1">
          <a:extLst>
            <a:ext uri="{FF2B5EF4-FFF2-40B4-BE49-F238E27FC236}">
              <a16:creationId xmlns:a16="http://schemas.microsoft.com/office/drawing/2014/main" id="{393715BA-0DB1-4D49-983C-F0BDB06D6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203114</xdr:colOff>
      <xdr:row>44</xdr:row>
      <xdr:rowOff>148081</xdr:rowOff>
    </xdr:from>
    <xdr:to>
      <xdr:col>15</xdr:col>
      <xdr:colOff>423333</xdr:colOff>
      <xdr:row>66</xdr:row>
      <xdr:rowOff>185207</xdr:rowOff>
    </xdr:to>
    <xdr:graphicFrame macro="">
      <xdr:nvGraphicFramePr>
        <xdr:cNvPr id="3" name="Chart 2">
          <a:extLst>
            <a:ext uri="{FF2B5EF4-FFF2-40B4-BE49-F238E27FC236}">
              <a16:creationId xmlns:a16="http://schemas.microsoft.com/office/drawing/2014/main" id="{601AB5B0-3221-4695-9491-503D98546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667727</xdr:colOff>
      <xdr:row>44</xdr:row>
      <xdr:rowOff>141342</xdr:rowOff>
    </xdr:from>
    <xdr:to>
      <xdr:col>8</xdr:col>
      <xdr:colOff>727604</xdr:colOff>
      <xdr:row>66</xdr:row>
      <xdr:rowOff>158750</xdr:rowOff>
    </xdr:to>
    <xdr:graphicFrame macro="">
      <xdr:nvGraphicFramePr>
        <xdr:cNvPr id="4" name="Chart 3">
          <a:extLst>
            <a:ext uri="{FF2B5EF4-FFF2-40B4-BE49-F238E27FC236}">
              <a16:creationId xmlns:a16="http://schemas.microsoft.com/office/drawing/2014/main" id="{D9A955B6-383A-462C-93CB-B557C8F8B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648219</xdr:colOff>
      <xdr:row>69</xdr:row>
      <xdr:rowOff>37745</xdr:rowOff>
    </xdr:from>
    <xdr:to>
      <xdr:col>8</xdr:col>
      <xdr:colOff>300964</xdr:colOff>
      <xdr:row>94</xdr:row>
      <xdr:rowOff>89298</xdr:rowOff>
    </xdr:to>
    <xdr:graphicFrame macro="">
      <xdr:nvGraphicFramePr>
        <xdr:cNvPr id="5" name="Chart 4">
          <a:extLst>
            <a:ext uri="{FF2B5EF4-FFF2-40B4-BE49-F238E27FC236}">
              <a16:creationId xmlns:a16="http://schemas.microsoft.com/office/drawing/2014/main" id="{15A55C82-EC9D-4CDB-9843-960619A3F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146827</xdr:colOff>
      <xdr:row>16</xdr:row>
      <xdr:rowOff>17262</xdr:rowOff>
    </xdr:from>
    <xdr:to>
      <xdr:col>19</xdr:col>
      <xdr:colOff>219773</xdr:colOff>
      <xdr:row>30</xdr:row>
      <xdr:rowOff>71717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17944EC-A7FE-9844-DB8E-81686E95D3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091478" y="2926448"/>
              <a:ext cx="1889342" cy="2535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155518</xdr:colOff>
      <xdr:row>32</xdr:row>
      <xdr:rowOff>5361</xdr:rowOff>
    </xdr:from>
    <xdr:to>
      <xdr:col>19</xdr:col>
      <xdr:colOff>228464</xdr:colOff>
      <xdr:row>46</xdr:row>
      <xdr:rowOff>3482</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B3F395B-C953-5093-02DB-D6D688B952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100169" y="5749896"/>
              <a:ext cx="1889342" cy="2479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169532</xdr:colOff>
      <xdr:row>47</xdr:row>
      <xdr:rowOff>166667</xdr:rowOff>
    </xdr:from>
    <xdr:to>
      <xdr:col>19</xdr:col>
      <xdr:colOff>242478</xdr:colOff>
      <xdr:row>63</xdr:row>
      <xdr:rowOff>171979</xdr:rowOff>
    </xdr:to>
    <mc:AlternateContent xmlns:mc="http://schemas.openxmlformats.org/markup-compatibility/2006">
      <mc:Choice xmlns:a14="http://schemas.microsoft.com/office/drawing/2010/main" Requires="a14">
        <xdr:graphicFrame macro="">
          <xdr:nvGraphicFramePr>
            <xdr:cNvPr id="8" name="Payment Method">
              <a:extLst>
                <a:ext uri="{FF2B5EF4-FFF2-40B4-BE49-F238E27FC236}">
                  <a16:creationId xmlns:a16="http://schemas.microsoft.com/office/drawing/2014/main" id="{C6FA0D06-97D6-2F45-E506-CDFA6AEC7E3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5114183" y="8569341"/>
              <a:ext cx="1889342" cy="2840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147298</xdr:colOff>
      <xdr:row>0</xdr:row>
      <xdr:rowOff>155174</xdr:rowOff>
    </xdr:from>
    <xdr:to>
      <xdr:col>19</xdr:col>
      <xdr:colOff>430991</xdr:colOff>
      <xdr:row>14</xdr:row>
      <xdr:rowOff>117669</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D28D75F6-045C-893D-A810-77913003FE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091949" y="155174"/>
              <a:ext cx="2100089" cy="25172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562207</xdr:colOff>
      <xdr:row>0</xdr:row>
      <xdr:rowOff>93252</xdr:rowOff>
    </xdr:from>
    <xdr:to>
      <xdr:col>4</xdr:col>
      <xdr:colOff>525375</xdr:colOff>
      <xdr:row>5</xdr:row>
      <xdr:rowOff>76229</xdr:rowOff>
    </xdr:to>
    <xdr:sp macro="" textlink="">
      <xdr:nvSpPr>
        <xdr:cNvPr id="16" name="Rectangle: Rounded Corners 15">
          <a:extLst>
            <a:ext uri="{FF2B5EF4-FFF2-40B4-BE49-F238E27FC236}">
              <a16:creationId xmlns:a16="http://schemas.microsoft.com/office/drawing/2014/main" id="{F7B0115E-E089-A0C2-4E6E-8358420F2B9C}"/>
            </a:ext>
          </a:extLst>
        </xdr:cNvPr>
        <xdr:cNvSpPr/>
      </xdr:nvSpPr>
      <xdr:spPr>
        <a:xfrm>
          <a:off x="2250378" y="93252"/>
          <a:ext cx="2015302" cy="966453"/>
        </a:xfrm>
        <a:prstGeom prst="roundRect">
          <a:avLst/>
        </a:prstGeom>
        <a:solidFill>
          <a:schemeClr val="accent2">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Sales 💰</a:t>
          </a:r>
        </a:p>
        <a:p>
          <a:pPr algn="l"/>
          <a:r>
            <a:rPr lang="en-IN" sz="1800" b="0" i="0" u="none" strike="noStrike">
              <a:solidFill>
                <a:schemeClr val="lt1"/>
              </a:solidFill>
              <a:effectLst/>
              <a:latin typeface="+mn-lt"/>
              <a:ea typeface="+mn-ea"/>
              <a:cs typeface="+mn-cs"/>
            </a:rPr>
            <a:t>₹ 4,65,028.22</a:t>
          </a:r>
          <a:r>
            <a:rPr lang="en-IN" sz="1800">
              <a:effectLst/>
            </a:rPr>
            <a:t> </a:t>
          </a:r>
          <a:endParaRPr lang="en-IN" sz="1800"/>
        </a:p>
      </xdr:txBody>
    </xdr:sp>
    <xdr:clientData/>
  </xdr:twoCellAnchor>
  <xdr:twoCellAnchor>
    <xdr:from>
      <xdr:col>4</xdr:col>
      <xdr:colOff>1009234</xdr:colOff>
      <xdr:row>0</xdr:row>
      <xdr:rowOff>100997</xdr:rowOff>
    </xdr:from>
    <xdr:to>
      <xdr:col>7</xdr:col>
      <xdr:colOff>325002</xdr:colOff>
      <xdr:row>5</xdr:row>
      <xdr:rowOff>113740</xdr:rowOff>
    </xdr:to>
    <xdr:sp macro="" textlink="">
      <xdr:nvSpPr>
        <xdr:cNvPr id="19" name="Rectangle: Rounded Corners 18">
          <a:extLst>
            <a:ext uri="{FF2B5EF4-FFF2-40B4-BE49-F238E27FC236}">
              <a16:creationId xmlns:a16="http://schemas.microsoft.com/office/drawing/2014/main" id="{BC0B4B5F-FCBF-4020-8202-2A55D9CF542C}"/>
            </a:ext>
          </a:extLst>
        </xdr:cNvPr>
        <xdr:cNvSpPr/>
      </xdr:nvSpPr>
      <xdr:spPr>
        <a:xfrm>
          <a:off x="4749539" y="100997"/>
          <a:ext cx="1987414" cy="996219"/>
        </a:xfrm>
        <a:prstGeom prst="roundRect">
          <a:avLst/>
        </a:prstGeom>
        <a:solidFill>
          <a:schemeClr val="accent2">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Profit 📈</a:t>
          </a:r>
        </a:p>
        <a:p>
          <a:pPr algn="l"/>
          <a:r>
            <a:rPr lang="en-IN" sz="1800" b="0" i="0" u="none" strike="noStrike">
              <a:solidFill>
                <a:schemeClr val="lt1"/>
              </a:solidFill>
              <a:effectLst/>
              <a:latin typeface="+mn-lt"/>
              <a:ea typeface="+mn-ea"/>
              <a:cs typeface="+mn-cs"/>
            </a:rPr>
            <a:t>₹ 1,16,257.</a:t>
          </a:r>
          <a:r>
            <a:rPr lang="en-IN" sz="1800">
              <a:effectLst/>
            </a:rPr>
            <a:t> 06</a:t>
          </a:r>
          <a:endParaRPr lang="en-IN" sz="1800"/>
        </a:p>
      </xdr:txBody>
    </xdr:sp>
    <xdr:clientData/>
  </xdr:twoCellAnchor>
  <xdr:twoCellAnchor>
    <xdr:from>
      <xdr:col>8</xdr:col>
      <xdr:colOff>34726</xdr:colOff>
      <xdr:row>0</xdr:row>
      <xdr:rowOff>106619</xdr:rowOff>
    </xdr:from>
    <xdr:to>
      <xdr:col>9</xdr:col>
      <xdr:colOff>1101086</xdr:colOff>
      <xdr:row>5</xdr:row>
      <xdr:rowOff>125837</xdr:rowOff>
    </xdr:to>
    <xdr:sp macro="" textlink="">
      <xdr:nvSpPr>
        <xdr:cNvPr id="20" name="Rectangle: Rounded Corners 19">
          <a:extLst>
            <a:ext uri="{FF2B5EF4-FFF2-40B4-BE49-F238E27FC236}">
              <a16:creationId xmlns:a16="http://schemas.microsoft.com/office/drawing/2014/main" id="{A90D25AF-54B9-4B6A-97D4-C688014E8FD5}"/>
            </a:ext>
          </a:extLst>
        </xdr:cNvPr>
        <xdr:cNvSpPr/>
      </xdr:nvSpPr>
      <xdr:spPr>
        <a:xfrm>
          <a:off x="7267531" y="106619"/>
          <a:ext cx="2018860" cy="1002694"/>
        </a:xfrm>
        <a:prstGeom prst="roundRect">
          <a:avLst/>
        </a:prstGeom>
        <a:solidFill>
          <a:schemeClr val="accent2">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Orders 🛒</a:t>
          </a:r>
        </a:p>
        <a:p>
          <a:pPr algn="l"/>
          <a:r>
            <a:rPr lang="en-IN" sz="1800" b="0" i="0" u="none" strike="noStrike">
              <a:solidFill>
                <a:schemeClr val="lt1"/>
              </a:solidFill>
              <a:effectLst/>
              <a:latin typeface="+mn-lt"/>
              <a:ea typeface="+mn-ea"/>
              <a:cs typeface="+mn-cs"/>
            </a:rPr>
            <a:t>100</a:t>
          </a:r>
          <a:endParaRPr lang="en-IN" sz="1800"/>
        </a:p>
      </xdr:txBody>
    </xdr:sp>
    <xdr:clientData/>
  </xdr:twoCellAnchor>
  <xdr:twoCellAnchor>
    <xdr:from>
      <xdr:col>10</xdr:col>
      <xdr:colOff>364942</xdr:colOff>
      <xdr:row>0</xdr:row>
      <xdr:rowOff>138655</xdr:rowOff>
    </xdr:from>
    <xdr:to>
      <xdr:col>12</xdr:col>
      <xdr:colOff>896357</xdr:colOff>
      <xdr:row>5</xdr:row>
      <xdr:rowOff>134792</xdr:rowOff>
    </xdr:to>
    <xdr:sp macro="" textlink="">
      <xdr:nvSpPr>
        <xdr:cNvPr id="21" name="Rectangle: Rounded Corners 20">
          <a:extLst>
            <a:ext uri="{FF2B5EF4-FFF2-40B4-BE49-F238E27FC236}">
              <a16:creationId xmlns:a16="http://schemas.microsoft.com/office/drawing/2014/main" id="{09121B9C-6B93-45A7-B40E-C49ABCBA53E9}"/>
            </a:ext>
          </a:extLst>
        </xdr:cNvPr>
        <xdr:cNvSpPr/>
      </xdr:nvSpPr>
      <xdr:spPr>
        <a:xfrm>
          <a:off x="9835735" y="138655"/>
          <a:ext cx="2018244" cy="979613"/>
        </a:xfrm>
        <a:prstGeom prst="roundRect">
          <a:avLst/>
        </a:prstGeom>
        <a:solidFill>
          <a:schemeClr val="accent2">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Top Region 🌍</a:t>
          </a:r>
        </a:p>
        <a:p>
          <a:pPr algn="l"/>
          <a:r>
            <a:rPr lang="en-IN" sz="1800" b="0" i="0" u="none" strike="noStrike">
              <a:solidFill>
                <a:schemeClr val="lt1"/>
              </a:solidFill>
              <a:effectLst/>
              <a:latin typeface="+mn-lt"/>
              <a:ea typeface="+mn-ea"/>
              <a:cs typeface="+mn-cs"/>
            </a:rPr>
            <a:t>West</a:t>
          </a:r>
          <a:endParaRPr lang="en-IN" sz="1800"/>
        </a:p>
      </xdr:txBody>
    </xdr:sp>
    <xdr:clientData/>
  </xdr:twoCellAnchor>
  <xdr:twoCellAnchor>
    <xdr:from>
      <xdr:col>8</xdr:col>
      <xdr:colOff>883045</xdr:colOff>
      <xdr:row>69</xdr:row>
      <xdr:rowOff>89297</xdr:rowOff>
    </xdr:from>
    <xdr:to>
      <xdr:col>16</xdr:col>
      <xdr:colOff>248046</xdr:colOff>
      <xdr:row>94</xdr:row>
      <xdr:rowOff>128983</xdr:rowOff>
    </xdr:to>
    <xdr:graphicFrame macro="">
      <xdr:nvGraphicFramePr>
        <xdr:cNvPr id="22" name="Chart 21">
          <a:extLst>
            <a:ext uri="{FF2B5EF4-FFF2-40B4-BE49-F238E27FC236}">
              <a16:creationId xmlns:a16="http://schemas.microsoft.com/office/drawing/2014/main" id="{BFB6EB09-FE1C-4B09-ACEE-902D48DDA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450850</xdr:colOff>
      <xdr:row>1</xdr:row>
      <xdr:rowOff>0</xdr:rowOff>
    </xdr:from>
    <xdr:to>
      <xdr:col>8</xdr:col>
      <xdr:colOff>438150</xdr:colOff>
      <xdr:row>14</xdr:row>
      <xdr:rowOff>88900</xdr:rowOff>
    </xdr:to>
    <xdr:graphicFrame macro="">
      <xdr:nvGraphicFramePr>
        <xdr:cNvPr id="2" name="Chart 1">
          <a:extLst>
            <a:ext uri="{FF2B5EF4-FFF2-40B4-BE49-F238E27FC236}">
              <a16:creationId xmlns:a16="http://schemas.microsoft.com/office/drawing/2014/main" id="{DCB47AC3-B858-ECD9-F3DE-BA77D8A9B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111125</xdr:colOff>
      <xdr:row>1</xdr:row>
      <xdr:rowOff>0</xdr:rowOff>
    </xdr:from>
    <xdr:to>
      <xdr:col>18</xdr:col>
      <xdr:colOff>381000</xdr:colOff>
      <xdr:row>14</xdr:row>
      <xdr:rowOff>19050</xdr:rowOff>
    </xdr:to>
    <xdr:graphicFrame macro="">
      <xdr:nvGraphicFramePr>
        <xdr:cNvPr id="3" name="Chart 2">
          <a:extLst>
            <a:ext uri="{FF2B5EF4-FFF2-40B4-BE49-F238E27FC236}">
              <a16:creationId xmlns:a16="http://schemas.microsoft.com/office/drawing/2014/main" id="{F7CFA02E-0B2F-275D-336C-4AEC14450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476250</xdr:colOff>
      <xdr:row>21</xdr:row>
      <xdr:rowOff>6350</xdr:rowOff>
    </xdr:from>
    <xdr:to>
      <xdr:col>9</xdr:col>
      <xdr:colOff>0</xdr:colOff>
      <xdr:row>33</xdr:row>
      <xdr:rowOff>69850</xdr:rowOff>
    </xdr:to>
    <xdr:graphicFrame macro="">
      <xdr:nvGraphicFramePr>
        <xdr:cNvPr id="4" name="Chart 3">
          <a:extLst>
            <a:ext uri="{FF2B5EF4-FFF2-40B4-BE49-F238E27FC236}">
              <a16:creationId xmlns:a16="http://schemas.microsoft.com/office/drawing/2014/main" id="{1974A0FB-9F22-D7F5-0DF7-307FC9FD3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371475</xdr:colOff>
      <xdr:row>21</xdr:row>
      <xdr:rowOff>101600</xdr:rowOff>
    </xdr:from>
    <xdr:to>
      <xdr:col>23</xdr:col>
      <xdr:colOff>66675</xdr:colOff>
      <xdr:row>36</xdr:row>
      <xdr:rowOff>82550</xdr:rowOff>
    </xdr:to>
    <xdr:graphicFrame macro="">
      <xdr:nvGraphicFramePr>
        <xdr:cNvPr id="5" name="Chart 4">
          <a:extLst>
            <a:ext uri="{FF2B5EF4-FFF2-40B4-BE49-F238E27FC236}">
              <a16:creationId xmlns:a16="http://schemas.microsoft.com/office/drawing/2014/main" id="{F4590E63-F961-CB6E-EB94-05EB67B2C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193675</xdr:colOff>
      <xdr:row>3</xdr:row>
      <xdr:rowOff>95250</xdr:rowOff>
    </xdr:from>
    <xdr:to>
      <xdr:col>11</xdr:col>
      <xdr:colOff>498475</xdr:colOff>
      <xdr:row>18</xdr:row>
      <xdr:rowOff>76200</xdr:rowOff>
    </xdr:to>
    <xdr:graphicFrame macro="">
      <xdr:nvGraphicFramePr>
        <xdr:cNvPr id="2" name="Chart 1">
          <a:extLst>
            <a:ext uri="{FF2B5EF4-FFF2-40B4-BE49-F238E27FC236}">
              <a16:creationId xmlns:a16="http://schemas.microsoft.com/office/drawing/2014/main" id="{295C8717-B44B-F505-47AC-2CFFF0B87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600075"/>
          <a:ext cx="1914526" cy="137477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83342" y="600075"/>
          <a:ext cx="1879601" cy="18986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972175" y="600075"/>
          <a:ext cx="1847851" cy="19081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114799" y="596900"/>
          <a:ext cx="1819277" cy="137795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50864" y="2324100"/>
          <a:ext cx="633576" cy="31923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00.841"/>
    </inkml:context>
    <inkml:brush xml:id="br0">
      <inkml:brushProperty name="width" value="0.1" units="cm"/>
      <inkml:brushProperty name="height" value="0.1" units="cm"/>
      <inkml:brushProperty name="color" value="#E71224"/>
    </inkml:brush>
  </inkml:definitions>
  <inkml:trace contextRef="#ctx0" brushRef="#br0">1 21 24575,'3'-2'0,"1"0"0,0 0 0,-1 1 0,1-1 0,0 1 0,0 0 0,0 0 0,0 0 0,0 0 0,0 1 0,0 0 0,0 0 0,7 0 0,3 0 0,503-6 0,-307 8 0,5037-2-1365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08.683"/>
    </inkml:context>
    <inkml:brush xml:id="br0">
      <inkml:brushProperty name="width" value="0.1" units="cm"/>
      <inkml:brushProperty name="height" value="0.1" units="cm"/>
      <inkml:brushProperty name="color" value="#E71224"/>
    </inkml:brush>
  </inkml:definitions>
  <inkml:trace contextRef="#ctx0" brushRef="#br0">0 18 24387,'8965'0'0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15.306"/>
    </inkml:context>
    <inkml:brush xml:id="br0">
      <inkml:brushProperty name="width" value="0.1" units="cm"/>
      <inkml:brushProperty name="height" value="0.1" units="cm"/>
      <inkml:brushProperty name="color" value="#E71224"/>
    </inkml:brush>
  </inkml:definitions>
  <inkml:trace contextRef="#ctx0" brushRef="#br0">1 1 24575,'12692'0'0,"-12668"1"0,0 2 0,47 10 0,-43-6 0,47 3 0,222-8 0,-23-2 0,-167 9 0,44 1 0,974-11-1365,-1108 1-5461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19.118"/>
    </inkml:context>
    <inkml:brush xml:id="br0">
      <inkml:brushProperty name="width" value="0.1" units="cm"/>
      <inkml:brushProperty name="height" value="0.1" units="cm"/>
      <inkml:brushProperty name="color" value="#E71224"/>
    </inkml:brush>
  </inkml:definitions>
  <inkml:trace contextRef="#ctx0" brushRef="#br0">1 1 24575,'3726'0'-1365</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21.150"/>
    </inkml:context>
    <inkml:brush xml:id="br0">
      <inkml:brushProperty name="width" value="0.1" units="cm"/>
      <inkml:brushProperty name="height" value="0.1" units="cm"/>
      <inkml:brushProperty name="color" value="#E71224"/>
    </inkml:brush>
  </inkml:definitions>
  <inkml:trace contextRef="#ctx0" brushRef="#br0">0 21 24575,'2'-2'0,"0"1"0,1-1 0,-1 1 0,0-1 0,0 1 0,1 0 0,-1 0 0,0 0 0,1 0 0,-1 0 0,1 1 0,4-1 0,34-2 0,-29 3 0,515-2 0,-267 4 0,1045-2-1365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23.532"/>
    </inkml:context>
    <inkml:brush xml:id="br0">
      <inkml:brushProperty name="width" value="0.1" units="cm"/>
      <inkml:brushProperty name="height" value="0.1" units="cm"/>
      <inkml:brushProperty name="color" value="#E71224"/>
    </inkml:brush>
  </inkml:definitions>
  <inkml:trace contextRef="#ctx0" brushRef="#br0">1 1 24575,'3584'0'-1365</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27.410"/>
    </inkml:context>
    <inkml:brush xml:id="br0">
      <inkml:brushProperty name="width" value="0.1" units="cm"/>
      <inkml:brushProperty name="height" value="0.1" units="cm"/>
      <inkml:brushProperty name="color" value="#E71224"/>
    </inkml:brush>
  </inkml:definitions>
  <inkml:trace contextRef="#ctx0" brushRef="#br0">0 0 24575,'11862'0'-1365</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2" Type="http://schemas.openxmlformats.org/officeDocument/2006/relationships/externalLinkPath" Target="https://d.docs.live.net/5bbb901a2ca8fc47/Documents/PivotTable%20tutorial1%20(version%201).xlsx" TargetMode="External"/><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6">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5.839509027777" createdVersion="8" refreshedVersion="8" minRefreshableVersion="3" recordCount="7" xr:uid="{50E8C2C1-7F39-4AF4-A5EE-D2678ADEC878}">
  <cacheSource type="worksheet">
    <worksheetSource ref="B15:E22" sheet="20" r:id="rId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70.445600925923" createdVersion="8" refreshedVersion="8" minRefreshableVersion="3" recordCount="100" xr:uid="{7370F5E7-A60E-4C66-827F-EE26E32440C3}">
  <cacheSource type="worksheet">
    <worksheetSource name="sales_data"/>
  </cacheSource>
  <cacheFields count="15">
    <cacheField name="Order ID" numFmtId="0">
      <sharedItems containsSemiMixedTypes="0" containsString="0" containsNumber="1" containsInteger="1" minValue="1001" maxValue="1100"/>
    </cacheField>
    <cacheField name="Date" numFmtId="14">
      <sharedItems containsSemiMixedTypes="0" containsNonDate="0" containsDate="1" containsString="0" minDate="2023-01-01T00:00:00" maxDate="2024-01-01T00:00:00"/>
    </cacheField>
    <cacheField name="Sales Rep" numFmtId="0">
      <sharedItems/>
    </cacheField>
    <cacheField name="Region" numFmtId="0">
      <sharedItems count="4">
        <s v="North"/>
        <s v="West"/>
        <s v="South"/>
        <s v="East"/>
      </sharedItems>
    </cacheField>
    <cacheField name="Sales Amount" numFmtId="0">
      <sharedItems containsSemiMixedTypes="0" containsString="0" containsNumber="1" minValue="113.4" maxValue="9813.81"/>
    </cacheField>
    <cacheField name="Quantity" numFmtId="0">
      <sharedItems containsSemiMixedTypes="0" containsString="0" containsNumber="1" containsInteger="1" minValue="1" maxValue="49"/>
    </cacheField>
    <cacheField name="Category" numFmtId="0">
      <sharedItems count="4">
        <s v="Furniture"/>
        <s v="Food"/>
        <s v="Clothing"/>
        <s v="Electronics"/>
      </sharedItems>
    </cacheField>
    <cacheField name="Unit_Price" numFmtId="0">
      <sharedItems containsSemiMixedTypes="0" containsString="0" containsNumber="1" minValue="267.22000000000003" maxValue="5088"/>
    </cacheField>
    <cacheField name="Discount" numFmtId="9">
      <sharedItems containsSemiMixedTypes="0" containsString="0" containsNumber="1" minValue="0" maxValue="0.3"/>
    </cacheField>
    <cacheField name="Payment Method" numFmtId="0">
      <sharedItems count="3">
        <s v="Cash"/>
        <s v="Bank Transfer"/>
        <s v="Credit Card"/>
      </sharedItems>
    </cacheField>
    <cacheField name="Month" numFmtId="0">
      <sharedItems count="12">
        <s v="Feb"/>
        <s v="Apr"/>
        <s v="Sep"/>
        <s v="Aug"/>
        <s v="Mar"/>
        <s v="Jan"/>
        <s v="Jun"/>
        <s v="Nov"/>
        <s v="Dec"/>
        <s v="Oct"/>
        <s v="May"/>
        <s v="Jul"/>
      </sharedItems>
    </cacheField>
    <cacheField name="Year" numFmtId="0">
      <sharedItems containsSemiMixedTypes="0" containsString="0" containsNumber="1" containsInteger="1" minValue="2023" maxValue="2023"/>
    </cacheField>
    <cacheField name="Profit Margin" numFmtId="10">
      <sharedItems containsSemiMixedTypes="0" containsString="0" containsNumber="1" minValue="0.25" maxValue="0.25"/>
    </cacheField>
    <cacheField name="Profit" numFmtId="180">
      <sharedItems containsSemiMixedTypes="0" containsString="0" containsNumber="1" minValue="28.35" maxValue="2453.4524999999999"/>
    </cacheField>
    <cacheField name="Sales Channel" numFmtId="0">
      <sharedItems/>
    </cacheField>
  </cacheFields>
  <extLst>
    <ext xmlns:x14="http://schemas.microsoft.com/office/spreadsheetml/2009/9/main" uri="{725AE2AE-9491-48be-B2B4-4EB974FC3084}">
      <x14:pivotCacheDefinition pivotCacheId="1950506836"/>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70.537933680556" createdVersion="8" refreshedVersion="8" minRefreshableVersion="3" recordCount="100" xr:uid="{41754F9B-8246-4655-8B08-FF9D9767940A}">
  <cacheSource type="worksheet">
    <worksheetSource name="Table26"/>
  </cacheSource>
  <cacheFields count="15">
    <cacheField name="Order ID" numFmtId="0">
      <sharedItems containsSemiMixedTypes="0" containsString="0" containsNumber="1" containsInteger="1" minValue="1001" maxValue="1100"/>
    </cacheField>
    <cacheField name="Date" numFmtId="14">
      <sharedItems containsSemiMixedTypes="0" containsNonDate="0" containsDate="1" containsString="0" minDate="2023-01-01T00:00:00" maxDate="2024-01-01T00:00:00"/>
    </cacheField>
    <cacheField name="Sales Rep" numFmtId="0">
      <sharedItems/>
    </cacheField>
    <cacheField name="Region" numFmtId="0">
      <sharedItems/>
    </cacheField>
    <cacheField name="Sales Amount" numFmtId="0">
      <sharedItems containsSemiMixedTypes="0" containsString="0" containsNumber="1" minValue="113.4" maxValue="9813.81"/>
    </cacheField>
    <cacheField name="Quantity" numFmtId="0">
      <sharedItems containsSemiMixedTypes="0" containsString="0" containsNumber="1" containsInteger="1" minValue="1" maxValue="49"/>
    </cacheField>
    <cacheField name="Category" numFmtId="0">
      <sharedItems/>
    </cacheField>
    <cacheField name="Unit_Price" numFmtId="0">
      <sharedItems containsSemiMixedTypes="0" containsString="0" containsNumber="1" minValue="267.22000000000003" maxValue="5088"/>
    </cacheField>
    <cacheField name="Discount" numFmtId="9">
      <sharedItems containsSemiMixedTypes="0" containsString="0" containsNumber="1" minValue="0" maxValue="0.3"/>
    </cacheField>
    <cacheField name="Payment Method" numFmtId="0">
      <sharedItems/>
    </cacheField>
    <cacheField name="Month" numFmtId="0">
      <sharedItems/>
    </cacheField>
    <cacheField name="Year" numFmtId="0">
      <sharedItems containsSemiMixedTypes="0" containsString="0" containsNumber="1" containsInteger="1" minValue="2023" maxValue="2023"/>
    </cacheField>
    <cacheField name="Profit Margin" numFmtId="10">
      <sharedItems containsSemiMixedTypes="0" containsString="0" containsNumber="1" minValue="0.25" maxValue="0.25"/>
    </cacheField>
    <cacheField name="Profit" numFmtId="180">
      <sharedItems containsSemiMixedTypes="0" containsString="0" containsNumber="1" minValue="28.35" maxValue="2453.4524999999999"/>
    </cacheField>
    <cacheField name="Sales Channel" numFmtId="0">
      <sharedItems count="2">
        <s v="Online"/>
        <s v="Retai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s v="Fuel"/>
    <n v="74"/>
  </r>
  <r>
    <x v="1"/>
    <x v="0"/>
    <s v="Food"/>
    <n v="235"/>
  </r>
  <r>
    <x v="2"/>
    <x v="1"/>
    <s v="Sports"/>
    <n v="20"/>
  </r>
  <r>
    <x v="3"/>
    <x v="2"/>
    <s v="Books"/>
    <n v="125"/>
  </r>
  <r>
    <x v="4"/>
    <x v="0"/>
    <s v="Food"/>
    <n v="235"/>
  </r>
  <r>
    <x v="5"/>
    <x v="2"/>
    <s v="Music"/>
    <n v="20"/>
  </r>
  <r>
    <x v="6"/>
    <x v="2"/>
    <s v="Tickets"/>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x v="0"/>
    <n v="74"/>
  </r>
  <r>
    <d v="2017-01-15T00:00:00"/>
    <s v="Mom"/>
    <x v="1"/>
    <n v="235"/>
  </r>
  <r>
    <d v="2017-01-17T00:00:00"/>
    <s v="Dad"/>
    <x v="2"/>
    <n v="20"/>
  </r>
  <r>
    <d v="2017-01-21T00:00:00"/>
    <s v="Kelly"/>
    <x v="3"/>
    <n v="125"/>
  </r>
  <r>
    <d v="2017-02-02T00:00:00"/>
    <s v="Mom"/>
    <x v="1"/>
    <n v="235"/>
  </r>
  <r>
    <d v="2017-02-20T00:00:00"/>
    <s v="Kelly"/>
    <x v="4"/>
    <n v="20"/>
  </r>
  <r>
    <d v="2017-02-25T00:00:00"/>
    <s v="Kelly"/>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52"/>
    <d v="2023-02-03T00:00:00"/>
    <s v="Bob"/>
    <x v="0"/>
    <n v="5053.97"/>
    <n v="18"/>
    <x v="0"/>
    <n v="267.22000000000003"/>
    <n v="0.09"/>
    <x v="0"/>
    <x v="0"/>
    <n v="2023"/>
    <n v="0.25"/>
    <n v="1263.4925000000001"/>
    <s v="Online"/>
  </r>
  <r>
    <n v="1093"/>
    <d v="2023-04-21T00:00:00"/>
    <s v="Bob"/>
    <x v="1"/>
    <n v="4384.0200000000004"/>
    <n v="17"/>
    <x v="0"/>
    <n v="4209.4399999999996"/>
    <n v="0.11"/>
    <x v="0"/>
    <x v="1"/>
    <n v="2023"/>
    <n v="0.25"/>
    <n v="1096.0050000000001"/>
    <s v="Retail"/>
  </r>
  <r>
    <n v="1015"/>
    <d v="2023-09-21T00:00:00"/>
    <s v="David"/>
    <x v="2"/>
    <n v="4631.2299999999996"/>
    <n v="30"/>
    <x v="1"/>
    <n v="371.4"/>
    <n v="0.2"/>
    <x v="1"/>
    <x v="2"/>
    <n v="2023"/>
    <n v="0.25"/>
    <n v="1157.8074999999999"/>
    <s v="Retail"/>
  </r>
  <r>
    <n v="1072"/>
    <d v="2023-08-24T00:00:00"/>
    <s v="Bob"/>
    <x v="2"/>
    <n v="2167.94"/>
    <n v="39"/>
    <x v="2"/>
    <n v="4467.75"/>
    <n v="0.02"/>
    <x v="2"/>
    <x v="3"/>
    <n v="2023"/>
    <n v="0.25"/>
    <n v="541.98500000000001"/>
    <s v="Retail"/>
  </r>
  <r>
    <n v="1061"/>
    <d v="2023-03-24T00:00:00"/>
    <s v="Charlie"/>
    <x v="3"/>
    <n v="3750.2"/>
    <n v="13"/>
    <x v="3"/>
    <n v="692.71"/>
    <n v="0.08"/>
    <x v="2"/>
    <x v="4"/>
    <n v="2023"/>
    <n v="0.25"/>
    <n v="937.55"/>
    <s v="Online"/>
  </r>
  <r>
    <n v="1021"/>
    <d v="2023-02-11T00:00:00"/>
    <s v="Charlie"/>
    <x v="1"/>
    <n v="3761.15"/>
    <n v="32"/>
    <x v="1"/>
    <n v="1106.51"/>
    <n v="0.21"/>
    <x v="0"/>
    <x v="0"/>
    <n v="2023"/>
    <n v="0.25"/>
    <n v="940.28750000000002"/>
    <s v="Online"/>
  </r>
  <r>
    <n v="1083"/>
    <d v="2023-04-11T00:00:00"/>
    <s v="Bob"/>
    <x v="1"/>
    <n v="618.30999999999995"/>
    <n v="29"/>
    <x v="0"/>
    <n v="2624.09"/>
    <n v="0.14000000000000001"/>
    <x v="0"/>
    <x v="1"/>
    <n v="2023"/>
    <n v="0.25"/>
    <n v="154.57749999999999"/>
    <s v="Online"/>
  </r>
  <r>
    <n v="1087"/>
    <d v="2023-01-06T00:00:00"/>
    <s v="Eve"/>
    <x v="2"/>
    <n v="7698.92"/>
    <n v="46"/>
    <x v="0"/>
    <n v="3964.65"/>
    <n v="0.12"/>
    <x v="1"/>
    <x v="5"/>
    <n v="2023"/>
    <n v="0.25"/>
    <n v="1924.73"/>
    <s v="Online"/>
  </r>
  <r>
    <n v="1075"/>
    <d v="2023-06-29T00:00:00"/>
    <s v="David"/>
    <x v="2"/>
    <n v="4223.3900000000003"/>
    <n v="30"/>
    <x v="0"/>
    <n v="1095.4499999999998"/>
    <n v="0.05"/>
    <x v="1"/>
    <x v="6"/>
    <n v="2023"/>
    <n v="0.25"/>
    <n v="1055.8475000000001"/>
    <s v="Online"/>
  </r>
  <r>
    <n v="1088"/>
    <d v="2023-11-16T00:00:00"/>
    <s v="Eve"/>
    <x v="0"/>
    <n v="8518.4500000000007"/>
    <n v="13"/>
    <x v="0"/>
    <n v="2517.6"/>
    <n v="0.23"/>
    <x v="1"/>
    <x v="7"/>
    <n v="2023"/>
    <n v="0.25"/>
    <n v="2129.6125000000002"/>
    <s v="Retail"/>
  </r>
  <r>
    <n v="1100"/>
    <d v="2023-08-14T00:00:00"/>
    <s v="Bob"/>
    <x v="1"/>
    <n v="2198.7399999999998"/>
    <n v="43"/>
    <x v="1"/>
    <n v="1137.44"/>
    <n v="0.08"/>
    <x v="1"/>
    <x v="3"/>
    <n v="2023"/>
    <n v="0.25"/>
    <n v="549.68499999999995"/>
    <s v="Online"/>
  </r>
  <r>
    <n v="1024"/>
    <d v="2023-11-11T00:00:00"/>
    <s v="Eve"/>
    <x v="1"/>
    <n v="6607.8"/>
    <n v="21"/>
    <x v="1"/>
    <n v="641.09"/>
    <n v="0"/>
    <x v="1"/>
    <x v="7"/>
    <n v="2023"/>
    <n v="0.25"/>
    <n v="1651.95"/>
    <s v="Retail"/>
  </r>
  <r>
    <n v="1003"/>
    <d v="2023-12-31T00:00:00"/>
    <s v="Alice"/>
    <x v="2"/>
    <n v="4775.59"/>
    <n v="30"/>
    <x v="0"/>
    <n v="4270.6499999999996"/>
    <n v="0.2"/>
    <x v="0"/>
    <x v="8"/>
    <n v="2023"/>
    <n v="0.25"/>
    <n v="1193.8975"/>
    <s v="Online"/>
  </r>
  <r>
    <n v="1022"/>
    <d v="2023-08-17T00:00:00"/>
    <s v="Charlie"/>
    <x v="2"/>
    <n v="8813.5499999999993"/>
    <n v="21"/>
    <x v="1"/>
    <n v="2869.6"/>
    <n v="0.28999999999999998"/>
    <x v="1"/>
    <x v="3"/>
    <n v="2023"/>
    <n v="0.25"/>
    <n v="2203.3874999999998"/>
    <s v="Retail"/>
  </r>
  <r>
    <n v="1053"/>
    <d v="2023-10-16T00:00:00"/>
    <s v="Bob"/>
    <x v="0"/>
    <n v="2235.83"/>
    <n v="48"/>
    <x v="0"/>
    <n v="487.65"/>
    <n v="0.18"/>
    <x v="0"/>
    <x v="9"/>
    <n v="2023"/>
    <n v="0.25"/>
    <n v="558.95749999999998"/>
    <s v="Retail"/>
  </r>
  <r>
    <n v="1002"/>
    <d v="2023-05-30T00:00:00"/>
    <s v="David"/>
    <x v="0"/>
    <n v="6810.35"/>
    <n v="17"/>
    <x v="0"/>
    <n v="4420.1500000000015"/>
    <n v="0.04"/>
    <x v="0"/>
    <x v="10"/>
    <n v="2023"/>
    <n v="0.25"/>
    <n v="1702.5875000000001"/>
    <s v="Online"/>
  </r>
  <r>
    <n v="1030"/>
    <d v="2023-07-17T00:00:00"/>
    <s v="David"/>
    <x v="1"/>
    <n v="3023.48"/>
    <n v="19"/>
    <x v="2"/>
    <n v="3209.22"/>
    <n v="0.26"/>
    <x v="0"/>
    <x v="11"/>
    <n v="2023"/>
    <n v="0.25"/>
    <n v="755.87"/>
    <s v="Online"/>
  </r>
  <r>
    <n v="1038"/>
    <d v="2023-03-11T00:00:00"/>
    <s v="Bob"/>
    <x v="2"/>
    <n v="1452.35"/>
    <n v="15"/>
    <x v="2"/>
    <n v="2790.1000000000004"/>
    <n v="7.0000000000000007E-2"/>
    <x v="0"/>
    <x v="4"/>
    <n v="2023"/>
    <n v="0.25"/>
    <n v="363.08749999999998"/>
    <s v="Online"/>
  </r>
  <r>
    <n v="1064"/>
    <d v="2023-01-04T00:00:00"/>
    <s v="Eve"/>
    <x v="3"/>
    <n v="7412.11"/>
    <n v="10"/>
    <x v="3"/>
    <n v="5074.42"/>
    <n v="0.12"/>
    <x v="0"/>
    <x v="5"/>
    <n v="2023"/>
    <n v="0.25"/>
    <n v="1853.0274999999999"/>
    <s v="Online"/>
  </r>
  <r>
    <n v="1060"/>
    <d v="2023-12-16T00:00:00"/>
    <s v="Eve"/>
    <x v="3"/>
    <n v="3224.71"/>
    <n v="44"/>
    <x v="2"/>
    <n v="4276.99"/>
    <n v="0.06"/>
    <x v="1"/>
    <x v="8"/>
    <n v="2023"/>
    <n v="0.25"/>
    <n v="806.17750000000001"/>
    <s v="Retail"/>
  </r>
  <r>
    <n v="1033"/>
    <d v="2023-11-14T00:00:00"/>
    <s v="David"/>
    <x v="2"/>
    <n v="4011.8"/>
    <n v="23"/>
    <x v="0"/>
    <n v="3360.4"/>
    <n v="0.22"/>
    <x v="1"/>
    <x v="7"/>
    <n v="2023"/>
    <n v="0.25"/>
    <n v="1002.95"/>
    <s v="Retail"/>
  </r>
  <r>
    <n v="1076"/>
    <d v="2023-12-16T00:00:00"/>
    <s v="Eve"/>
    <x v="3"/>
    <n v="7160.75"/>
    <n v="30"/>
    <x v="2"/>
    <n v="3774.65"/>
    <n v="0.2"/>
    <x v="2"/>
    <x v="8"/>
    <n v="2023"/>
    <n v="0.25"/>
    <n v="1790.1875"/>
    <s v="Retail"/>
  </r>
  <r>
    <n v="1058"/>
    <d v="2023-04-05T00:00:00"/>
    <s v="Alice"/>
    <x v="0"/>
    <n v="2072.23"/>
    <n v="33"/>
    <x v="0"/>
    <n v="1084.28"/>
    <n v="7.0000000000000007E-2"/>
    <x v="1"/>
    <x v="1"/>
    <n v="2023"/>
    <n v="0.25"/>
    <n v="518.0575"/>
    <s v="Retail"/>
  </r>
  <r>
    <n v="1089"/>
    <d v="2023-11-07T00:00:00"/>
    <s v="Bob"/>
    <x v="1"/>
    <n v="2945.36"/>
    <n v="47"/>
    <x v="0"/>
    <n v="4314.5599999999995"/>
    <n v="0.17"/>
    <x v="1"/>
    <x v="7"/>
    <n v="2023"/>
    <n v="0.25"/>
    <n v="736.34"/>
    <s v="Retail"/>
  </r>
  <r>
    <n v="1049"/>
    <d v="2023-05-17T00:00:00"/>
    <s v="Alice"/>
    <x v="1"/>
    <n v="3741.08"/>
    <n v="1"/>
    <x v="0"/>
    <n v="3317.75"/>
    <n v="0.17"/>
    <x v="1"/>
    <x v="10"/>
    <n v="2023"/>
    <n v="0.25"/>
    <n v="935.27"/>
    <s v="Online"/>
  </r>
  <r>
    <n v="1091"/>
    <d v="2023-09-04T00:00:00"/>
    <s v="Charlie"/>
    <x v="2"/>
    <n v="675.11"/>
    <n v="44"/>
    <x v="1"/>
    <n v="2406.58"/>
    <n v="0.06"/>
    <x v="1"/>
    <x v="2"/>
    <n v="2023"/>
    <n v="0.25"/>
    <n v="168.7775"/>
    <s v="Retail"/>
  </r>
  <r>
    <n v="1059"/>
    <d v="2023-08-31T00:00:00"/>
    <s v="Alice"/>
    <x v="0"/>
    <n v="1203.97"/>
    <n v="35"/>
    <x v="1"/>
    <n v="3764.52"/>
    <n v="0.02"/>
    <x v="2"/>
    <x v="3"/>
    <n v="2023"/>
    <n v="0.25"/>
    <n v="300.99250000000001"/>
    <s v="Online"/>
  </r>
  <r>
    <n v="1042"/>
    <d v="2023-01-31T00:00:00"/>
    <s v="Alice"/>
    <x v="0"/>
    <n v="5207.03"/>
    <n v="11"/>
    <x v="1"/>
    <n v="814.1400000000001"/>
    <n v="0.02"/>
    <x v="0"/>
    <x v="5"/>
    <n v="2023"/>
    <n v="0.25"/>
    <n v="1301.7574999999999"/>
    <s v="Online"/>
  </r>
  <r>
    <n v="1092"/>
    <d v="2023-02-09T00:00:00"/>
    <s v="David"/>
    <x v="1"/>
    <n v="2749.17"/>
    <n v="34"/>
    <x v="0"/>
    <n v="2238.65"/>
    <n v="0.3"/>
    <x v="2"/>
    <x v="0"/>
    <n v="2023"/>
    <n v="0.25"/>
    <n v="687.29250000000002"/>
    <s v="Online"/>
  </r>
  <r>
    <n v="1080"/>
    <d v="2023-02-05T00:00:00"/>
    <s v="Charlie"/>
    <x v="2"/>
    <n v="245.46"/>
    <n v="9"/>
    <x v="3"/>
    <n v="1550.19"/>
    <n v="0.28000000000000003"/>
    <x v="2"/>
    <x v="0"/>
    <n v="2023"/>
    <n v="0.25"/>
    <n v="61.365000000000002"/>
    <s v="Retail"/>
  </r>
  <r>
    <n v="1062"/>
    <d v="2023-01-06T00:00:00"/>
    <s v="Eve"/>
    <x v="3"/>
    <n v="3439.72"/>
    <n v="15"/>
    <x v="2"/>
    <n v="4888.46"/>
    <n v="0.28999999999999998"/>
    <x v="2"/>
    <x v="5"/>
    <n v="2023"/>
    <n v="0.25"/>
    <n v="859.93"/>
    <s v="Online"/>
  </r>
  <r>
    <n v="1047"/>
    <d v="2023-08-08T00:00:00"/>
    <s v="David"/>
    <x v="0"/>
    <n v="1331.25"/>
    <n v="33"/>
    <x v="3"/>
    <n v="1427.21"/>
    <n v="0.15"/>
    <x v="2"/>
    <x v="3"/>
    <n v="2023"/>
    <n v="0.25"/>
    <n v="332.8125"/>
    <s v="Online"/>
  </r>
  <r>
    <n v="1051"/>
    <d v="2023-01-04T00:00:00"/>
    <s v="Eve"/>
    <x v="0"/>
    <n v="4979.3599999999997"/>
    <n v="14"/>
    <x v="3"/>
    <n v="3710.92"/>
    <n v="0.1"/>
    <x v="1"/>
    <x v="5"/>
    <n v="2023"/>
    <n v="0.25"/>
    <n v="1244.8399999999999"/>
    <s v="Retail"/>
  </r>
  <r>
    <n v="1055"/>
    <d v="2023-12-01T00:00:00"/>
    <s v="Charlie"/>
    <x v="1"/>
    <n v="4102.47"/>
    <n v="8"/>
    <x v="0"/>
    <n v="3838.42"/>
    <n v="0.13"/>
    <x v="1"/>
    <x v="8"/>
    <n v="2023"/>
    <n v="0.25"/>
    <n v="1025.6175000000001"/>
    <s v="Online"/>
  </r>
  <r>
    <n v="1007"/>
    <d v="2023-03-03T00:00:00"/>
    <s v="Eve"/>
    <x v="1"/>
    <n v="4694.54"/>
    <n v="1"/>
    <x v="1"/>
    <n v="2637.9100000000003"/>
    <n v="0.2"/>
    <x v="2"/>
    <x v="4"/>
    <n v="2023"/>
    <n v="0.25"/>
    <n v="1173.635"/>
    <s v="Online"/>
  </r>
  <r>
    <n v="1073"/>
    <d v="2023-12-01T00:00:00"/>
    <s v="David"/>
    <x v="1"/>
    <n v="5238.42"/>
    <n v="40"/>
    <x v="0"/>
    <n v="3007.4700000000003"/>
    <n v="0.17"/>
    <x v="2"/>
    <x v="8"/>
    <n v="2023"/>
    <n v="0.25"/>
    <n v="1309.605"/>
    <s v="Retail"/>
  </r>
  <r>
    <n v="1039"/>
    <d v="2023-07-22T00:00:00"/>
    <s v="Alice"/>
    <x v="3"/>
    <n v="6807.67"/>
    <n v="42"/>
    <x v="2"/>
    <n v="3600.14"/>
    <n v="0.19"/>
    <x v="2"/>
    <x v="11"/>
    <n v="2023"/>
    <n v="0.25"/>
    <n v="1701.9175"/>
    <s v="Retail"/>
  </r>
  <r>
    <n v="1018"/>
    <d v="2023-01-26T00:00:00"/>
    <s v="Alice"/>
    <x v="3"/>
    <n v="3187.45"/>
    <n v="11"/>
    <x v="2"/>
    <n v="2519.0700000000002"/>
    <n v="0"/>
    <x v="0"/>
    <x v="5"/>
    <n v="2023"/>
    <n v="0.25"/>
    <n v="796.86249999999995"/>
    <s v="Online"/>
  </r>
  <r>
    <n v="1004"/>
    <d v="2023-06-22T00:00:00"/>
    <s v="Eve"/>
    <x v="2"/>
    <n v="7762.51"/>
    <n v="39"/>
    <x v="3"/>
    <n v="2778.3999999999996"/>
    <n v="0.05"/>
    <x v="0"/>
    <x v="6"/>
    <n v="2023"/>
    <n v="0.25"/>
    <n v="1940.6275000000001"/>
    <s v="Online"/>
  </r>
  <r>
    <n v="1014"/>
    <d v="2023-11-22T00:00:00"/>
    <s v="David"/>
    <x v="1"/>
    <n v="9762.5400000000009"/>
    <n v="17"/>
    <x v="1"/>
    <n v="3204.01"/>
    <n v="0.2"/>
    <x v="1"/>
    <x v="7"/>
    <n v="2023"/>
    <n v="0.25"/>
    <n v="2440.6350000000002"/>
    <s v="Online"/>
  </r>
  <r>
    <n v="1009"/>
    <d v="2023-04-28T00:00:00"/>
    <s v="Alice"/>
    <x v="0"/>
    <n v="1342.95"/>
    <n v="33"/>
    <x v="2"/>
    <n v="2626.9"/>
    <n v="0.05"/>
    <x v="2"/>
    <x v="1"/>
    <n v="2023"/>
    <n v="0.25"/>
    <n v="335.73750000000001"/>
    <s v="Online"/>
  </r>
  <r>
    <n v="1090"/>
    <d v="2023-11-20T00:00:00"/>
    <s v="Alice"/>
    <x v="1"/>
    <n v="267.77999999999997"/>
    <n v="32"/>
    <x v="3"/>
    <n v="3152.2799999999997"/>
    <n v="0.22"/>
    <x v="0"/>
    <x v="7"/>
    <n v="2023"/>
    <n v="0.25"/>
    <n v="66.944999999999993"/>
    <s v="Retail"/>
  </r>
  <r>
    <n v="1084"/>
    <d v="2023-08-13T00:00:00"/>
    <s v="Alice"/>
    <x v="1"/>
    <n v="1290.05"/>
    <n v="21"/>
    <x v="0"/>
    <n v="3765.31"/>
    <n v="0.08"/>
    <x v="0"/>
    <x v="3"/>
    <n v="2023"/>
    <n v="0.25"/>
    <n v="322.51249999999999"/>
    <s v="Online"/>
  </r>
  <r>
    <n v="1071"/>
    <d v="2023-05-20T00:00:00"/>
    <s v="Eve"/>
    <x v="1"/>
    <n v="3003.76"/>
    <n v="6"/>
    <x v="0"/>
    <n v="3206.98"/>
    <n v="0.06"/>
    <x v="1"/>
    <x v="10"/>
    <n v="2023"/>
    <n v="0.25"/>
    <n v="750.94"/>
    <s v="Retail"/>
  </r>
  <r>
    <n v="1044"/>
    <d v="2023-02-16T00:00:00"/>
    <s v="David"/>
    <x v="2"/>
    <n v="7754.1"/>
    <n v="22"/>
    <x v="1"/>
    <n v="3454.76"/>
    <n v="0.22"/>
    <x v="1"/>
    <x v="0"/>
    <n v="2023"/>
    <n v="0.25"/>
    <n v="1938.5250000000001"/>
    <s v="Retail"/>
  </r>
  <r>
    <n v="1008"/>
    <d v="2023-01-01T00:00:00"/>
    <s v="Eve"/>
    <x v="0"/>
    <n v="5227.8100000000004"/>
    <n v="38"/>
    <x v="2"/>
    <n v="5075.4399999999996"/>
    <n v="0.05"/>
    <x v="0"/>
    <x v="5"/>
    <n v="2023"/>
    <n v="0.25"/>
    <n v="1306.9525000000001"/>
    <s v="Online"/>
  </r>
  <r>
    <n v="1035"/>
    <d v="2023-05-22T00:00:00"/>
    <s v="Alice"/>
    <x v="2"/>
    <n v="3780.22"/>
    <n v="45"/>
    <x v="1"/>
    <n v="4624.1000000000004"/>
    <n v="0.15"/>
    <x v="2"/>
    <x v="10"/>
    <n v="2023"/>
    <n v="0.25"/>
    <n v="945.05499999999995"/>
    <s v="Retail"/>
  </r>
  <r>
    <n v="1078"/>
    <d v="2023-11-16T00:00:00"/>
    <s v="David"/>
    <x v="3"/>
    <n v="113.4"/>
    <n v="8"/>
    <x v="0"/>
    <n v="3657.23"/>
    <n v="0.03"/>
    <x v="1"/>
    <x v="7"/>
    <n v="2023"/>
    <n v="0.25"/>
    <n v="28.35"/>
    <s v="Online"/>
  </r>
  <r>
    <n v="1081"/>
    <d v="2023-02-07T00:00:00"/>
    <s v="David"/>
    <x v="3"/>
    <n v="3068.03"/>
    <n v="41"/>
    <x v="0"/>
    <n v="2879.24"/>
    <n v="0.21"/>
    <x v="1"/>
    <x v="0"/>
    <n v="2023"/>
    <n v="0.25"/>
    <n v="767.00750000000005"/>
    <s v="Online"/>
  </r>
  <r>
    <n v="1036"/>
    <d v="2023-10-20T00:00:00"/>
    <s v="David"/>
    <x v="0"/>
    <n v="6499.94"/>
    <n v="49"/>
    <x v="2"/>
    <n v="1429.4399999999998"/>
    <n v="0.16"/>
    <x v="0"/>
    <x v="9"/>
    <n v="2023"/>
    <n v="0.25"/>
    <n v="1624.9849999999999"/>
    <s v="Online"/>
  </r>
  <r>
    <n v="1050"/>
    <d v="2023-05-19T00:00:00"/>
    <s v="Charlie"/>
    <x v="3"/>
    <n v="9744.52"/>
    <n v="35"/>
    <x v="2"/>
    <n v="2384.38"/>
    <n v="0.09"/>
    <x v="1"/>
    <x v="10"/>
    <n v="2023"/>
    <n v="0.25"/>
    <n v="2436.13"/>
    <s v="Retail"/>
  </r>
  <r>
    <n v="1006"/>
    <d v="2023-09-16T00:00:00"/>
    <s v="Bob"/>
    <x v="0"/>
    <n v="8995.75"/>
    <n v="49"/>
    <x v="1"/>
    <n v="3146.6000000000004"/>
    <n v="0.08"/>
    <x v="0"/>
    <x v="2"/>
    <n v="2023"/>
    <n v="0.25"/>
    <n v="2248.9375"/>
    <s v="Retail"/>
  </r>
  <r>
    <n v="1054"/>
    <d v="2023-06-10T00:00:00"/>
    <s v="Bob"/>
    <x v="2"/>
    <n v="7853.66"/>
    <n v="21"/>
    <x v="0"/>
    <n v="5040.22"/>
    <n v="0.05"/>
    <x v="1"/>
    <x v="6"/>
    <n v="2023"/>
    <n v="0.25"/>
    <n v="1963.415"/>
    <s v="Online"/>
  </r>
  <r>
    <n v="1063"/>
    <d v="2023-05-18T00:00:00"/>
    <s v="Bob"/>
    <x v="1"/>
    <n v="3098.87"/>
    <n v="39"/>
    <x v="1"/>
    <n v="3931.25"/>
    <n v="0.21"/>
    <x v="0"/>
    <x v="10"/>
    <n v="2023"/>
    <n v="0.25"/>
    <n v="774.71749999999997"/>
    <s v="Retail"/>
  </r>
  <r>
    <n v="1034"/>
    <d v="2023-05-10T00:00:00"/>
    <s v="Eve"/>
    <x v="3"/>
    <n v="4892.3599999999997"/>
    <n v="19"/>
    <x v="2"/>
    <n v="2180.83"/>
    <n v="0.17"/>
    <x v="2"/>
    <x v="10"/>
    <n v="2023"/>
    <n v="0.25"/>
    <n v="1223.0899999999999"/>
    <s v="Retail"/>
  </r>
  <r>
    <n v="1074"/>
    <d v="2023-03-25T00:00:00"/>
    <s v="Eve"/>
    <x v="1"/>
    <n v="7499.7"/>
    <n v="38"/>
    <x v="1"/>
    <n v="2836.94"/>
    <n v="0.19"/>
    <x v="2"/>
    <x v="4"/>
    <n v="2023"/>
    <n v="0.25"/>
    <n v="1874.925"/>
    <s v="Online"/>
  </r>
  <r>
    <n v="1095"/>
    <d v="2023-11-25T00:00:00"/>
    <s v="Alice"/>
    <x v="3"/>
    <n v="9432.9699999999993"/>
    <n v="37"/>
    <x v="3"/>
    <n v="860.95"/>
    <n v="0.1"/>
    <x v="2"/>
    <x v="7"/>
    <n v="2023"/>
    <n v="0.25"/>
    <n v="2358.2424999999998"/>
    <s v="Retail"/>
  </r>
  <r>
    <n v="1048"/>
    <d v="2023-09-30T00:00:00"/>
    <s v="Charlie"/>
    <x v="0"/>
    <n v="7873.38"/>
    <n v="4"/>
    <x v="0"/>
    <n v="2910.5099999999998"/>
    <n v="0.22"/>
    <x v="2"/>
    <x v="2"/>
    <n v="2023"/>
    <n v="0.25"/>
    <n v="1968.345"/>
    <s v="Retail"/>
  </r>
  <r>
    <n v="1040"/>
    <d v="2023-03-10T00:00:00"/>
    <s v="Charlie"/>
    <x v="3"/>
    <n v="2331.27"/>
    <n v="13"/>
    <x v="2"/>
    <n v="2882.85"/>
    <n v="0.24"/>
    <x v="2"/>
    <x v="4"/>
    <n v="2023"/>
    <n v="0.25"/>
    <n v="582.8175"/>
    <s v="Online"/>
  </r>
  <r>
    <n v="1085"/>
    <d v="2023-11-14T00:00:00"/>
    <s v="Charlie"/>
    <x v="2"/>
    <n v="2038.75"/>
    <n v="32"/>
    <x v="0"/>
    <n v="1492.48"/>
    <n v="0.04"/>
    <x v="2"/>
    <x v="7"/>
    <n v="2023"/>
    <n v="0.25"/>
    <n v="509.6875"/>
    <s v="Retail"/>
  </r>
  <r>
    <n v="1082"/>
    <d v="2023-11-30T00:00:00"/>
    <s v="Alice"/>
    <x v="2"/>
    <n v="6261.9"/>
    <n v="41"/>
    <x v="3"/>
    <n v="1444.97"/>
    <n v="0.21"/>
    <x v="1"/>
    <x v="7"/>
    <n v="2023"/>
    <n v="0.25"/>
    <n v="1565.4749999999999"/>
    <s v="Online"/>
  </r>
  <r>
    <n v="1026"/>
    <d v="2023-02-04T00:00:00"/>
    <s v="Alice"/>
    <x v="1"/>
    <n v="1554.93"/>
    <n v="19"/>
    <x v="3"/>
    <n v="1715.83"/>
    <n v="0.05"/>
    <x v="2"/>
    <x v="0"/>
    <n v="2023"/>
    <n v="0.25"/>
    <n v="388.73250000000002"/>
    <s v="Retail"/>
  </r>
  <r>
    <n v="1041"/>
    <d v="2023-11-16T00:00:00"/>
    <s v="David"/>
    <x v="2"/>
    <n v="3942.84"/>
    <n v="40"/>
    <x v="1"/>
    <n v="1067.53"/>
    <n v="0.18"/>
    <x v="0"/>
    <x v="7"/>
    <n v="2023"/>
    <n v="0.25"/>
    <n v="985.71"/>
    <s v="Online"/>
  </r>
  <r>
    <n v="1029"/>
    <d v="2023-03-01T00:00:00"/>
    <s v="David"/>
    <x v="3"/>
    <n v="6773.89"/>
    <n v="28"/>
    <x v="2"/>
    <n v="3108.3"/>
    <n v="0.15"/>
    <x v="2"/>
    <x v="4"/>
    <n v="2023"/>
    <n v="0.25"/>
    <n v="1693.4725000000001"/>
    <s v="Retail"/>
  </r>
  <r>
    <n v="1045"/>
    <d v="2023-12-15T00:00:00"/>
    <s v="David"/>
    <x v="2"/>
    <n v="3517.4"/>
    <n v="42"/>
    <x v="2"/>
    <n v="3745.91"/>
    <n v="0.1"/>
    <x v="0"/>
    <x v="8"/>
    <n v="2023"/>
    <n v="0.25"/>
    <n v="879.35"/>
    <s v="Online"/>
  </r>
  <r>
    <n v="1065"/>
    <d v="2023-11-24T00:00:00"/>
    <s v="Bob"/>
    <x v="3"/>
    <n v="9183.11"/>
    <n v="18"/>
    <x v="1"/>
    <n v="1273.98"/>
    <n v="0.02"/>
    <x v="1"/>
    <x v="7"/>
    <n v="2023"/>
    <n v="0.25"/>
    <n v="2295.7775000000001"/>
    <s v="Retail"/>
  </r>
  <r>
    <n v="1001"/>
    <d v="2023-11-12T00:00:00"/>
    <s v="Alice"/>
    <x v="0"/>
    <n v="715.81"/>
    <n v="8"/>
    <x v="3"/>
    <n v="3729.27"/>
    <n v="0.09"/>
    <x v="1"/>
    <x v="7"/>
    <n v="2023"/>
    <n v="0.25"/>
    <n v="178.95249999999999"/>
    <s v="Retail"/>
  </r>
  <r>
    <n v="1011"/>
    <d v="2023-06-14T00:00:00"/>
    <s v="Alice"/>
    <x v="2"/>
    <n v="4531.97"/>
    <n v="38"/>
    <x v="0"/>
    <n v="4642.46"/>
    <n v="0.06"/>
    <x v="1"/>
    <x v="6"/>
    <n v="2023"/>
    <n v="0.25"/>
    <n v="1132.9925000000001"/>
    <s v="Online"/>
  </r>
  <r>
    <n v="1005"/>
    <d v="2023-03-30T00:00:00"/>
    <s v="Alice"/>
    <x v="3"/>
    <n v="6828.24"/>
    <n v="12"/>
    <x v="3"/>
    <n v="802.43000000000006"/>
    <n v="0.04"/>
    <x v="2"/>
    <x v="4"/>
    <n v="2023"/>
    <n v="0.25"/>
    <n v="1707.06"/>
    <s v="Retail"/>
  </r>
  <r>
    <n v="1028"/>
    <d v="2023-02-11T00:00:00"/>
    <s v="Alice"/>
    <x v="3"/>
    <n v="2819.57"/>
    <n v="24"/>
    <x v="2"/>
    <n v="2766.05"/>
    <n v="0.16"/>
    <x v="1"/>
    <x v="0"/>
    <n v="2023"/>
    <n v="0.25"/>
    <n v="704.89250000000004"/>
    <s v="Retail"/>
  </r>
  <r>
    <n v="1012"/>
    <d v="2023-10-22T00:00:00"/>
    <s v="David"/>
    <x v="0"/>
    <n v="4384.88"/>
    <n v="34"/>
    <x v="0"/>
    <n v="2521.77"/>
    <n v="0.21"/>
    <x v="1"/>
    <x v="9"/>
    <n v="2023"/>
    <n v="0.25"/>
    <n v="1096.22"/>
    <s v="Retail"/>
  </r>
  <r>
    <n v="1023"/>
    <d v="2023-06-28T00:00:00"/>
    <s v="Eve"/>
    <x v="3"/>
    <n v="2170.94"/>
    <n v="9"/>
    <x v="2"/>
    <n v="4273.6000000000004"/>
    <n v="0.25"/>
    <x v="0"/>
    <x v="6"/>
    <n v="2023"/>
    <n v="0.25"/>
    <n v="542.73500000000001"/>
    <s v="Retail"/>
  </r>
  <r>
    <n v="1037"/>
    <d v="2023-01-23T00:00:00"/>
    <s v="Bob"/>
    <x v="0"/>
    <n v="9813.81"/>
    <n v="40"/>
    <x v="2"/>
    <n v="3192.37"/>
    <n v="0.26"/>
    <x v="1"/>
    <x v="5"/>
    <n v="2023"/>
    <n v="0.25"/>
    <n v="2453.4524999999999"/>
    <s v="Online"/>
  </r>
  <r>
    <n v="1099"/>
    <d v="2023-03-04T00:00:00"/>
    <s v="David"/>
    <x v="3"/>
    <n v="7952.11"/>
    <n v="10"/>
    <x v="0"/>
    <n v="1955.56"/>
    <n v="0"/>
    <x v="2"/>
    <x v="4"/>
    <n v="2023"/>
    <n v="0.25"/>
    <n v="1988.0274999999999"/>
    <s v="Online"/>
  </r>
  <r>
    <n v="1086"/>
    <d v="2023-06-02T00:00:00"/>
    <s v="Bob"/>
    <x v="3"/>
    <n v="2495.5700000000002"/>
    <n v="3"/>
    <x v="3"/>
    <n v="1625.7099999999998"/>
    <n v="0.27"/>
    <x v="0"/>
    <x v="6"/>
    <n v="2023"/>
    <n v="0.25"/>
    <n v="623.89250000000004"/>
    <s v="Online"/>
  </r>
  <r>
    <n v="1027"/>
    <d v="2023-01-15T00:00:00"/>
    <s v="Bob"/>
    <x v="1"/>
    <n v="6261.2"/>
    <n v="26"/>
    <x v="1"/>
    <n v="477.67"/>
    <n v="0.14000000000000001"/>
    <x v="0"/>
    <x v="5"/>
    <n v="2023"/>
    <n v="0.25"/>
    <n v="1565.3"/>
    <s v="Retail"/>
  </r>
  <r>
    <n v="1079"/>
    <d v="2023-06-06T00:00:00"/>
    <s v="David"/>
    <x v="2"/>
    <n v="1982.07"/>
    <n v="34"/>
    <x v="0"/>
    <n v="1993.4"/>
    <n v="0.15"/>
    <x v="2"/>
    <x v="6"/>
    <n v="2023"/>
    <n v="0.25"/>
    <n v="495.51749999999998"/>
    <s v="Online"/>
  </r>
  <r>
    <n v="1077"/>
    <d v="2023-02-07T00:00:00"/>
    <s v="Eve"/>
    <x v="1"/>
    <n v="9605.34"/>
    <n v="12"/>
    <x v="2"/>
    <n v="2743.09"/>
    <n v="0.28999999999999998"/>
    <x v="2"/>
    <x v="0"/>
    <n v="2023"/>
    <n v="0.25"/>
    <n v="2401.335"/>
    <s v="Retail"/>
  </r>
  <r>
    <n v="1096"/>
    <d v="2023-09-11T00:00:00"/>
    <s v="Eve"/>
    <x v="2"/>
    <n v="7597.37"/>
    <n v="23"/>
    <x v="3"/>
    <n v="1032.22"/>
    <n v="0.25"/>
    <x v="0"/>
    <x v="2"/>
    <n v="2023"/>
    <n v="0.25"/>
    <n v="1899.3425"/>
    <s v="Retail"/>
  </r>
  <r>
    <n v="1094"/>
    <d v="2023-01-10T00:00:00"/>
    <s v="Eve"/>
    <x v="0"/>
    <n v="2548.67"/>
    <n v="25"/>
    <x v="3"/>
    <n v="1982.92"/>
    <n v="0.17"/>
    <x v="1"/>
    <x v="5"/>
    <n v="2023"/>
    <n v="0.25"/>
    <n v="637.16750000000002"/>
    <s v="Online"/>
  </r>
  <r>
    <n v="1043"/>
    <d v="2023-11-26T00:00:00"/>
    <s v="Bob"/>
    <x v="2"/>
    <n v="1710.73"/>
    <n v="3"/>
    <x v="3"/>
    <n v="2186.42"/>
    <n v="0.25"/>
    <x v="1"/>
    <x v="7"/>
    <n v="2023"/>
    <n v="0.25"/>
    <n v="427.6825"/>
    <s v="Online"/>
  </r>
  <r>
    <n v="1013"/>
    <d v="2023-10-21T00:00:00"/>
    <s v="David"/>
    <x v="3"/>
    <n v="5039.07"/>
    <n v="20"/>
    <x v="3"/>
    <n v="1649.7399999999998"/>
    <n v="0.1"/>
    <x v="1"/>
    <x v="9"/>
    <n v="2023"/>
    <n v="0.25"/>
    <n v="1259.7674999999999"/>
    <s v="Online"/>
  </r>
  <r>
    <n v="1032"/>
    <d v="2023-06-08T00:00:00"/>
    <s v="Eve"/>
    <x v="1"/>
    <n v="219.82"/>
    <n v="49"/>
    <x v="3"/>
    <n v="5088"/>
    <n v="0.09"/>
    <x v="2"/>
    <x v="6"/>
    <n v="2023"/>
    <n v="0.25"/>
    <n v="54.954999999999998"/>
    <s v="Online"/>
  </r>
  <r>
    <n v="1066"/>
    <d v="2023-07-03T00:00:00"/>
    <s v="Charlie"/>
    <x v="0"/>
    <n v="6380.2"/>
    <n v="15"/>
    <x v="0"/>
    <n v="2867.36"/>
    <n v="0.04"/>
    <x v="1"/>
    <x v="11"/>
    <n v="2023"/>
    <n v="0.25"/>
    <n v="1595.05"/>
    <s v="Retail"/>
  </r>
  <r>
    <n v="1057"/>
    <d v="2023-09-18T00:00:00"/>
    <s v="Charlie"/>
    <x v="1"/>
    <n v="7315.73"/>
    <n v="25"/>
    <x v="1"/>
    <n v="2027.74"/>
    <n v="0.02"/>
    <x v="1"/>
    <x v="2"/>
    <n v="2023"/>
    <n v="0.25"/>
    <n v="1828.9324999999999"/>
    <s v="Retail"/>
  </r>
  <r>
    <n v="1097"/>
    <d v="2023-10-26T00:00:00"/>
    <s v="Alice"/>
    <x v="3"/>
    <n v="7633.98"/>
    <n v="27"/>
    <x v="3"/>
    <n v="5046.51"/>
    <n v="0.05"/>
    <x v="2"/>
    <x v="9"/>
    <n v="2023"/>
    <n v="0.25"/>
    <n v="1908.4949999999999"/>
    <s v="Retail"/>
  </r>
  <r>
    <n v="1070"/>
    <d v="2023-11-26T00:00:00"/>
    <s v="David"/>
    <x v="0"/>
    <n v="5813.51"/>
    <n v="40"/>
    <x v="0"/>
    <n v="3258.45"/>
    <n v="0.28999999999999998"/>
    <x v="0"/>
    <x v="7"/>
    <n v="2023"/>
    <n v="0.25"/>
    <n v="1453.3775000000001"/>
    <s v="Online"/>
  </r>
  <r>
    <n v="1056"/>
    <d v="2023-05-07T00:00:00"/>
    <s v="David"/>
    <x v="3"/>
    <n v="7611.88"/>
    <n v="28"/>
    <x v="2"/>
    <n v="1576.34"/>
    <n v="0.2"/>
    <x v="1"/>
    <x v="10"/>
    <n v="2023"/>
    <n v="0.25"/>
    <n v="1902.97"/>
    <s v="Online"/>
  </r>
  <r>
    <n v="1019"/>
    <d v="2023-10-29T00:00:00"/>
    <s v="David"/>
    <x v="1"/>
    <n v="5952.19"/>
    <n v="31"/>
    <x v="1"/>
    <n v="685.1"/>
    <n v="0.04"/>
    <x v="1"/>
    <x v="9"/>
    <n v="2023"/>
    <n v="0.25"/>
    <n v="1488.0474999999999"/>
    <s v="Online"/>
  </r>
  <r>
    <n v="1068"/>
    <d v="2023-02-24T00:00:00"/>
    <s v="Bob"/>
    <x v="0"/>
    <n v="5118.51"/>
    <n v="22"/>
    <x v="2"/>
    <n v="3651.42"/>
    <n v="0.26"/>
    <x v="1"/>
    <x v="0"/>
    <n v="2023"/>
    <n v="0.25"/>
    <n v="1279.6275000000001"/>
    <s v="Online"/>
  </r>
  <r>
    <n v="1017"/>
    <d v="2023-07-21T00:00:00"/>
    <s v="David"/>
    <x v="3"/>
    <n v="3388.69"/>
    <n v="1"/>
    <x v="1"/>
    <n v="404.69"/>
    <n v="0.28999999999999998"/>
    <x v="1"/>
    <x v="11"/>
    <n v="2023"/>
    <n v="0.25"/>
    <n v="847.17250000000001"/>
    <s v="Online"/>
  </r>
  <r>
    <n v="1069"/>
    <d v="2023-06-03T00:00:00"/>
    <s v="David"/>
    <x v="1"/>
    <n v="6581.04"/>
    <n v="42"/>
    <x v="2"/>
    <n v="1482.88"/>
    <n v="0.28000000000000003"/>
    <x v="2"/>
    <x v="6"/>
    <n v="2023"/>
    <n v="0.25"/>
    <n v="1645.26"/>
    <s v="Retail"/>
  </r>
  <r>
    <n v="1098"/>
    <d v="2023-10-18T00:00:00"/>
    <s v="Eve"/>
    <x v="1"/>
    <n v="1600.79"/>
    <n v="21"/>
    <x v="0"/>
    <n v="828.94999999999993"/>
    <n v="0.18"/>
    <x v="1"/>
    <x v="9"/>
    <n v="2023"/>
    <n v="0.25"/>
    <n v="400.19749999999999"/>
    <s v="Online"/>
  </r>
  <r>
    <n v="1016"/>
    <d v="2023-03-31T00:00:00"/>
    <s v="Eve"/>
    <x v="3"/>
    <n v="4309.76"/>
    <n v="38"/>
    <x v="3"/>
    <n v="4152.72"/>
    <n v="0.26"/>
    <x v="0"/>
    <x v="4"/>
    <n v="2023"/>
    <n v="0.25"/>
    <n v="1077.44"/>
    <s v="Online"/>
  </r>
  <r>
    <n v="1020"/>
    <d v="2023-09-08T00:00:00"/>
    <s v="Eve"/>
    <x v="0"/>
    <n v="9733.4699999999993"/>
    <n v="26"/>
    <x v="2"/>
    <n v="4770.42"/>
    <n v="0.01"/>
    <x v="2"/>
    <x v="2"/>
    <n v="2023"/>
    <n v="0.25"/>
    <n v="2433.3674999999998"/>
    <s v="Retail"/>
  </r>
  <r>
    <n v="1067"/>
    <d v="2023-06-29T00:00:00"/>
    <s v="Eve"/>
    <x v="2"/>
    <n v="114.59"/>
    <n v="48"/>
    <x v="1"/>
    <n v="4625.5599999999995"/>
    <n v="0.1"/>
    <x v="1"/>
    <x v="6"/>
    <n v="2023"/>
    <n v="0.25"/>
    <n v="28.647500000000001"/>
    <s v="Online"/>
  </r>
  <r>
    <n v="1031"/>
    <d v="2023-12-08T00:00:00"/>
    <s v="David"/>
    <x v="0"/>
    <n v="7567.06"/>
    <n v="22"/>
    <x v="1"/>
    <n v="4382.3200000000006"/>
    <n v="0.2"/>
    <x v="1"/>
    <x v="8"/>
    <n v="2023"/>
    <n v="0.25"/>
    <n v="1891.7650000000001"/>
    <s v="Online"/>
  </r>
  <r>
    <n v="1025"/>
    <d v="2023-10-15T00:00:00"/>
    <s v="David"/>
    <x v="0"/>
    <n v="3422.54"/>
    <n v="44"/>
    <x v="1"/>
    <n v="1717.97"/>
    <n v="0.02"/>
    <x v="2"/>
    <x v="9"/>
    <n v="2023"/>
    <n v="0.25"/>
    <n v="855.63499999999999"/>
    <s v="Retail"/>
  </r>
  <r>
    <n v="1046"/>
    <d v="2023-01-20T00:00:00"/>
    <s v="Eve"/>
    <x v="3"/>
    <n v="4104.82"/>
    <n v="43"/>
    <x v="2"/>
    <n v="4199.3"/>
    <n v="0.1"/>
    <x v="1"/>
    <x v="5"/>
    <n v="2023"/>
    <n v="0.25"/>
    <n v="1026.2049999999999"/>
    <s v="Retail"/>
  </r>
  <r>
    <n v="1010"/>
    <d v="2023-02-16T00:00:00"/>
    <s v="David"/>
    <x v="3"/>
    <n v="1678.97"/>
    <n v="47"/>
    <x v="0"/>
    <n v="2429.9300000000003"/>
    <n v="0.06"/>
    <x v="1"/>
    <x v="0"/>
    <n v="2023"/>
    <n v="0.25"/>
    <n v="419.74250000000001"/>
    <s v="Online"/>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52"/>
    <d v="2023-02-03T00:00:00"/>
    <s v="Bob"/>
    <s v="North"/>
    <n v="5053.97"/>
    <n v="18"/>
    <s v="Furniture"/>
    <n v="267.22000000000003"/>
    <n v="0.09"/>
    <s v="Cash"/>
    <s v="Feb"/>
    <n v="2023"/>
    <n v="0.25"/>
    <n v="1263.4925000000001"/>
    <x v="0"/>
  </r>
  <r>
    <n v="1093"/>
    <d v="2023-04-21T00:00:00"/>
    <s v="Bob"/>
    <s v="West"/>
    <n v="4384.0200000000004"/>
    <n v="17"/>
    <s v="Furniture"/>
    <n v="4209.4399999999996"/>
    <n v="0.11"/>
    <s v="Cash"/>
    <s v="Apr"/>
    <n v="2023"/>
    <n v="0.25"/>
    <n v="1096.0050000000001"/>
    <x v="1"/>
  </r>
  <r>
    <n v="1015"/>
    <d v="2023-09-21T00:00:00"/>
    <s v="David"/>
    <s v="South"/>
    <n v="4631.2299999999996"/>
    <n v="30"/>
    <s v="Food"/>
    <n v="371.4"/>
    <n v="0.2"/>
    <s v="Bank Transfer"/>
    <s v="Sep"/>
    <n v="2023"/>
    <n v="0.25"/>
    <n v="1157.8074999999999"/>
    <x v="1"/>
  </r>
  <r>
    <n v="1072"/>
    <d v="2023-08-24T00:00:00"/>
    <s v="Bob"/>
    <s v="South"/>
    <n v="2167.94"/>
    <n v="39"/>
    <s v="Clothing"/>
    <n v="4467.75"/>
    <n v="0.02"/>
    <s v="Credit Card"/>
    <s v="Aug"/>
    <n v="2023"/>
    <n v="0.25"/>
    <n v="541.98500000000001"/>
    <x v="1"/>
  </r>
  <r>
    <n v="1061"/>
    <d v="2023-03-24T00:00:00"/>
    <s v="Charlie"/>
    <s v="East"/>
    <n v="3750.2"/>
    <n v="13"/>
    <s v="Electronics"/>
    <n v="692.71"/>
    <n v="0.08"/>
    <s v="Credit Card"/>
    <s v="Mar"/>
    <n v="2023"/>
    <n v="0.25"/>
    <n v="937.55"/>
    <x v="0"/>
  </r>
  <r>
    <n v="1021"/>
    <d v="2023-02-11T00:00:00"/>
    <s v="Charlie"/>
    <s v="West"/>
    <n v="3761.15"/>
    <n v="32"/>
    <s v="Food"/>
    <n v="1106.51"/>
    <n v="0.21"/>
    <s v="Cash"/>
    <s v="Feb"/>
    <n v="2023"/>
    <n v="0.25"/>
    <n v="940.28750000000002"/>
    <x v="0"/>
  </r>
  <r>
    <n v="1083"/>
    <d v="2023-04-11T00:00:00"/>
    <s v="Bob"/>
    <s v="West"/>
    <n v="618.30999999999995"/>
    <n v="29"/>
    <s v="Furniture"/>
    <n v="2624.09"/>
    <n v="0.14000000000000001"/>
    <s v="Cash"/>
    <s v="Apr"/>
    <n v="2023"/>
    <n v="0.25"/>
    <n v="154.57749999999999"/>
    <x v="0"/>
  </r>
  <r>
    <n v="1087"/>
    <d v="2023-01-06T00:00:00"/>
    <s v="Eve"/>
    <s v="South"/>
    <n v="7698.92"/>
    <n v="46"/>
    <s v="Furniture"/>
    <n v="3964.65"/>
    <n v="0.12"/>
    <s v="Bank Transfer"/>
    <s v="Jan"/>
    <n v="2023"/>
    <n v="0.25"/>
    <n v="1924.73"/>
    <x v="0"/>
  </r>
  <r>
    <n v="1075"/>
    <d v="2023-06-29T00:00:00"/>
    <s v="David"/>
    <s v="South"/>
    <n v="4223.3900000000003"/>
    <n v="30"/>
    <s v="Furniture"/>
    <n v="1095.4499999999998"/>
    <n v="0.05"/>
    <s v="Bank Transfer"/>
    <s v="Jun"/>
    <n v="2023"/>
    <n v="0.25"/>
    <n v="1055.8475000000001"/>
    <x v="0"/>
  </r>
  <r>
    <n v="1088"/>
    <d v="2023-11-16T00:00:00"/>
    <s v="Eve"/>
    <s v="North"/>
    <n v="8518.4500000000007"/>
    <n v="13"/>
    <s v="Furniture"/>
    <n v="2517.6"/>
    <n v="0.23"/>
    <s v="Bank Transfer"/>
    <s v="Nov"/>
    <n v="2023"/>
    <n v="0.25"/>
    <n v="2129.6125000000002"/>
    <x v="1"/>
  </r>
  <r>
    <n v="1100"/>
    <d v="2023-08-14T00:00:00"/>
    <s v="Bob"/>
    <s v="West"/>
    <n v="2198.7399999999998"/>
    <n v="43"/>
    <s v="Food"/>
    <n v="1137.44"/>
    <n v="0.08"/>
    <s v="Bank Transfer"/>
    <s v="Aug"/>
    <n v="2023"/>
    <n v="0.25"/>
    <n v="549.68499999999995"/>
    <x v="0"/>
  </r>
  <r>
    <n v="1024"/>
    <d v="2023-11-11T00:00:00"/>
    <s v="Eve"/>
    <s v="West"/>
    <n v="6607.8"/>
    <n v="21"/>
    <s v="Food"/>
    <n v="641.09"/>
    <n v="0"/>
    <s v="Bank Transfer"/>
    <s v="Nov"/>
    <n v="2023"/>
    <n v="0.25"/>
    <n v="1651.95"/>
    <x v="1"/>
  </r>
  <r>
    <n v="1003"/>
    <d v="2023-12-31T00:00:00"/>
    <s v="Alice"/>
    <s v="South"/>
    <n v="4775.59"/>
    <n v="30"/>
    <s v="Furniture"/>
    <n v="4270.6499999999996"/>
    <n v="0.2"/>
    <s v="Cash"/>
    <s v="Dec"/>
    <n v="2023"/>
    <n v="0.25"/>
    <n v="1193.8975"/>
    <x v="0"/>
  </r>
  <r>
    <n v="1022"/>
    <d v="2023-08-17T00:00:00"/>
    <s v="Charlie"/>
    <s v="South"/>
    <n v="8813.5499999999993"/>
    <n v="21"/>
    <s v="Food"/>
    <n v="2869.6"/>
    <n v="0.28999999999999998"/>
    <s v="Bank Transfer"/>
    <s v="Aug"/>
    <n v="2023"/>
    <n v="0.25"/>
    <n v="2203.3874999999998"/>
    <x v="1"/>
  </r>
  <r>
    <n v="1053"/>
    <d v="2023-10-16T00:00:00"/>
    <s v="Bob"/>
    <s v="North"/>
    <n v="2235.83"/>
    <n v="48"/>
    <s v="Furniture"/>
    <n v="487.65"/>
    <n v="0.18"/>
    <s v="Cash"/>
    <s v="Oct"/>
    <n v="2023"/>
    <n v="0.25"/>
    <n v="558.95749999999998"/>
    <x v="1"/>
  </r>
  <r>
    <n v="1002"/>
    <d v="2023-05-30T00:00:00"/>
    <s v="David"/>
    <s v="North"/>
    <n v="6810.35"/>
    <n v="17"/>
    <s v="Furniture"/>
    <n v="4420.1500000000015"/>
    <n v="0.04"/>
    <s v="Cash"/>
    <s v="May"/>
    <n v="2023"/>
    <n v="0.25"/>
    <n v="1702.5875000000001"/>
    <x v="0"/>
  </r>
  <r>
    <n v="1030"/>
    <d v="2023-07-17T00:00:00"/>
    <s v="David"/>
    <s v="West"/>
    <n v="3023.48"/>
    <n v="19"/>
    <s v="Clothing"/>
    <n v="3209.22"/>
    <n v="0.26"/>
    <s v="Cash"/>
    <s v="Jul"/>
    <n v="2023"/>
    <n v="0.25"/>
    <n v="755.87"/>
    <x v="0"/>
  </r>
  <r>
    <n v="1038"/>
    <d v="2023-03-11T00:00:00"/>
    <s v="Bob"/>
    <s v="South"/>
    <n v="1452.35"/>
    <n v="15"/>
    <s v="Clothing"/>
    <n v="2790.1000000000004"/>
    <n v="7.0000000000000007E-2"/>
    <s v="Cash"/>
    <s v="Mar"/>
    <n v="2023"/>
    <n v="0.25"/>
    <n v="363.08749999999998"/>
    <x v="0"/>
  </r>
  <r>
    <n v="1064"/>
    <d v="2023-01-04T00:00:00"/>
    <s v="Eve"/>
    <s v="East"/>
    <n v="7412.11"/>
    <n v="10"/>
    <s v="Electronics"/>
    <n v="5074.42"/>
    <n v="0.12"/>
    <s v="Cash"/>
    <s v="Jan"/>
    <n v="2023"/>
    <n v="0.25"/>
    <n v="1853.0274999999999"/>
    <x v="0"/>
  </r>
  <r>
    <n v="1060"/>
    <d v="2023-12-16T00:00:00"/>
    <s v="Eve"/>
    <s v="East"/>
    <n v="3224.71"/>
    <n v="44"/>
    <s v="Clothing"/>
    <n v="4276.99"/>
    <n v="0.06"/>
    <s v="Bank Transfer"/>
    <s v="Dec"/>
    <n v="2023"/>
    <n v="0.25"/>
    <n v="806.17750000000001"/>
    <x v="1"/>
  </r>
  <r>
    <n v="1033"/>
    <d v="2023-11-14T00:00:00"/>
    <s v="David"/>
    <s v="South"/>
    <n v="4011.8"/>
    <n v="23"/>
    <s v="Furniture"/>
    <n v="3360.4"/>
    <n v="0.22"/>
    <s v="Bank Transfer"/>
    <s v="Nov"/>
    <n v="2023"/>
    <n v="0.25"/>
    <n v="1002.95"/>
    <x v="1"/>
  </r>
  <r>
    <n v="1076"/>
    <d v="2023-12-16T00:00:00"/>
    <s v="Eve"/>
    <s v="East"/>
    <n v="7160.75"/>
    <n v="30"/>
    <s v="Clothing"/>
    <n v="3774.65"/>
    <n v="0.2"/>
    <s v="Credit Card"/>
    <s v="Dec"/>
    <n v="2023"/>
    <n v="0.25"/>
    <n v="1790.1875"/>
    <x v="1"/>
  </r>
  <r>
    <n v="1058"/>
    <d v="2023-04-05T00:00:00"/>
    <s v="Alice"/>
    <s v="North"/>
    <n v="2072.23"/>
    <n v="33"/>
    <s v="Furniture"/>
    <n v="1084.28"/>
    <n v="7.0000000000000007E-2"/>
    <s v="Bank Transfer"/>
    <s v="Apr"/>
    <n v="2023"/>
    <n v="0.25"/>
    <n v="518.0575"/>
    <x v="1"/>
  </r>
  <r>
    <n v="1089"/>
    <d v="2023-11-07T00:00:00"/>
    <s v="Bob"/>
    <s v="West"/>
    <n v="2945.36"/>
    <n v="47"/>
    <s v="Furniture"/>
    <n v="4314.5599999999995"/>
    <n v="0.17"/>
    <s v="Bank Transfer"/>
    <s v="Nov"/>
    <n v="2023"/>
    <n v="0.25"/>
    <n v="736.34"/>
    <x v="1"/>
  </r>
  <r>
    <n v="1049"/>
    <d v="2023-05-17T00:00:00"/>
    <s v="Alice"/>
    <s v="West"/>
    <n v="3741.08"/>
    <n v="1"/>
    <s v="Furniture"/>
    <n v="3317.75"/>
    <n v="0.17"/>
    <s v="Bank Transfer"/>
    <s v="May"/>
    <n v="2023"/>
    <n v="0.25"/>
    <n v="935.27"/>
    <x v="0"/>
  </r>
  <r>
    <n v="1091"/>
    <d v="2023-09-04T00:00:00"/>
    <s v="Charlie"/>
    <s v="South"/>
    <n v="675.11"/>
    <n v="44"/>
    <s v="Food"/>
    <n v="2406.58"/>
    <n v="0.06"/>
    <s v="Bank Transfer"/>
    <s v="Sep"/>
    <n v="2023"/>
    <n v="0.25"/>
    <n v="168.7775"/>
    <x v="1"/>
  </r>
  <r>
    <n v="1059"/>
    <d v="2023-08-31T00:00:00"/>
    <s v="Alice"/>
    <s v="North"/>
    <n v="1203.97"/>
    <n v="35"/>
    <s v="Food"/>
    <n v="3764.52"/>
    <n v="0.02"/>
    <s v="Credit Card"/>
    <s v="Aug"/>
    <n v="2023"/>
    <n v="0.25"/>
    <n v="300.99250000000001"/>
    <x v="0"/>
  </r>
  <r>
    <n v="1042"/>
    <d v="2023-01-31T00:00:00"/>
    <s v="Alice"/>
    <s v="North"/>
    <n v="5207.03"/>
    <n v="11"/>
    <s v="Food"/>
    <n v="814.1400000000001"/>
    <n v="0.02"/>
    <s v="Cash"/>
    <s v="Jan"/>
    <n v="2023"/>
    <n v="0.25"/>
    <n v="1301.7574999999999"/>
    <x v="0"/>
  </r>
  <r>
    <n v="1092"/>
    <d v="2023-02-09T00:00:00"/>
    <s v="David"/>
    <s v="West"/>
    <n v="2749.17"/>
    <n v="34"/>
    <s v="Furniture"/>
    <n v="2238.65"/>
    <n v="0.3"/>
    <s v="Credit Card"/>
    <s v="Feb"/>
    <n v="2023"/>
    <n v="0.25"/>
    <n v="687.29250000000002"/>
    <x v="0"/>
  </r>
  <r>
    <n v="1080"/>
    <d v="2023-02-05T00:00:00"/>
    <s v="Charlie"/>
    <s v="South"/>
    <n v="245.46"/>
    <n v="9"/>
    <s v="Electronics"/>
    <n v="1550.19"/>
    <n v="0.28000000000000003"/>
    <s v="Credit Card"/>
    <s v="Feb"/>
    <n v="2023"/>
    <n v="0.25"/>
    <n v="61.365000000000002"/>
    <x v="1"/>
  </r>
  <r>
    <n v="1062"/>
    <d v="2023-01-06T00:00:00"/>
    <s v="Eve"/>
    <s v="East"/>
    <n v="3439.72"/>
    <n v="15"/>
    <s v="Clothing"/>
    <n v="4888.46"/>
    <n v="0.28999999999999998"/>
    <s v="Credit Card"/>
    <s v="Jan"/>
    <n v="2023"/>
    <n v="0.25"/>
    <n v="859.93"/>
    <x v="0"/>
  </r>
  <r>
    <n v="1047"/>
    <d v="2023-08-08T00:00:00"/>
    <s v="David"/>
    <s v="North"/>
    <n v="1331.25"/>
    <n v="33"/>
    <s v="Electronics"/>
    <n v="1427.21"/>
    <n v="0.15"/>
    <s v="Credit Card"/>
    <s v="Aug"/>
    <n v="2023"/>
    <n v="0.25"/>
    <n v="332.8125"/>
    <x v="0"/>
  </r>
  <r>
    <n v="1051"/>
    <d v="2023-01-04T00:00:00"/>
    <s v="Eve"/>
    <s v="North"/>
    <n v="4979.3599999999997"/>
    <n v="14"/>
    <s v="Electronics"/>
    <n v="3710.92"/>
    <n v="0.1"/>
    <s v="Bank Transfer"/>
    <s v="Jan"/>
    <n v="2023"/>
    <n v="0.25"/>
    <n v="1244.8399999999999"/>
    <x v="1"/>
  </r>
  <r>
    <n v="1055"/>
    <d v="2023-12-01T00:00:00"/>
    <s v="Charlie"/>
    <s v="West"/>
    <n v="4102.47"/>
    <n v="8"/>
    <s v="Furniture"/>
    <n v="3838.42"/>
    <n v="0.13"/>
    <s v="Bank Transfer"/>
    <s v="Dec"/>
    <n v="2023"/>
    <n v="0.25"/>
    <n v="1025.6175000000001"/>
    <x v="0"/>
  </r>
  <r>
    <n v="1007"/>
    <d v="2023-03-03T00:00:00"/>
    <s v="Eve"/>
    <s v="West"/>
    <n v="4694.54"/>
    <n v="1"/>
    <s v="Food"/>
    <n v="2637.9100000000003"/>
    <n v="0.2"/>
    <s v="Credit Card"/>
    <s v="Mar"/>
    <n v="2023"/>
    <n v="0.25"/>
    <n v="1173.635"/>
    <x v="0"/>
  </r>
  <r>
    <n v="1073"/>
    <d v="2023-12-01T00:00:00"/>
    <s v="David"/>
    <s v="West"/>
    <n v="5238.42"/>
    <n v="40"/>
    <s v="Furniture"/>
    <n v="3007.4700000000003"/>
    <n v="0.17"/>
    <s v="Credit Card"/>
    <s v="Dec"/>
    <n v="2023"/>
    <n v="0.25"/>
    <n v="1309.605"/>
    <x v="1"/>
  </r>
  <r>
    <n v="1039"/>
    <d v="2023-07-22T00:00:00"/>
    <s v="Alice"/>
    <s v="East"/>
    <n v="6807.67"/>
    <n v="42"/>
    <s v="Clothing"/>
    <n v="3600.14"/>
    <n v="0.19"/>
    <s v="Credit Card"/>
    <s v="Jul"/>
    <n v="2023"/>
    <n v="0.25"/>
    <n v="1701.9175"/>
    <x v="1"/>
  </r>
  <r>
    <n v="1018"/>
    <d v="2023-01-26T00:00:00"/>
    <s v="Alice"/>
    <s v="East"/>
    <n v="3187.45"/>
    <n v="11"/>
    <s v="Clothing"/>
    <n v="2519.0700000000002"/>
    <n v="0"/>
    <s v="Cash"/>
    <s v="Jan"/>
    <n v="2023"/>
    <n v="0.25"/>
    <n v="796.86249999999995"/>
    <x v="0"/>
  </r>
  <r>
    <n v="1004"/>
    <d v="2023-06-22T00:00:00"/>
    <s v="Eve"/>
    <s v="South"/>
    <n v="7762.51"/>
    <n v="39"/>
    <s v="Electronics"/>
    <n v="2778.3999999999996"/>
    <n v="0.05"/>
    <s v="Cash"/>
    <s v="Jun"/>
    <n v="2023"/>
    <n v="0.25"/>
    <n v="1940.6275000000001"/>
    <x v="0"/>
  </r>
  <r>
    <n v="1014"/>
    <d v="2023-11-22T00:00:00"/>
    <s v="David"/>
    <s v="West"/>
    <n v="9762.5400000000009"/>
    <n v="17"/>
    <s v="Food"/>
    <n v="3204.01"/>
    <n v="0.2"/>
    <s v="Bank Transfer"/>
    <s v="Nov"/>
    <n v="2023"/>
    <n v="0.25"/>
    <n v="2440.6350000000002"/>
    <x v="0"/>
  </r>
  <r>
    <n v="1009"/>
    <d v="2023-04-28T00:00:00"/>
    <s v="Alice"/>
    <s v="North"/>
    <n v="1342.95"/>
    <n v="33"/>
    <s v="Clothing"/>
    <n v="2626.9"/>
    <n v="0.05"/>
    <s v="Credit Card"/>
    <s v="Apr"/>
    <n v="2023"/>
    <n v="0.25"/>
    <n v="335.73750000000001"/>
    <x v="0"/>
  </r>
  <r>
    <n v="1090"/>
    <d v="2023-11-20T00:00:00"/>
    <s v="Alice"/>
    <s v="West"/>
    <n v="267.77999999999997"/>
    <n v="32"/>
    <s v="Electronics"/>
    <n v="3152.2799999999997"/>
    <n v="0.22"/>
    <s v="Cash"/>
    <s v="Nov"/>
    <n v="2023"/>
    <n v="0.25"/>
    <n v="66.944999999999993"/>
    <x v="1"/>
  </r>
  <r>
    <n v="1084"/>
    <d v="2023-08-13T00:00:00"/>
    <s v="Alice"/>
    <s v="West"/>
    <n v="1290.05"/>
    <n v="21"/>
    <s v="Furniture"/>
    <n v="3765.31"/>
    <n v="0.08"/>
    <s v="Cash"/>
    <s v="Aug"/>
    <n v="2023"/>
    <n v="0.25"/>
    <n v="322.51249999999999"/>
    <x v="0"/>
  </r>
  <r>
    <n v="1071"/>
    <d v="2023-05-20T00:00:00"/>
    <s v="Eve"/>
    <s v="West"/>
    <n v="3003.76"/>
    <n v="6"/>
    <s v="Furniture"/>
    <n v="3206.98"/>
    <n v="0.06"/>
    <s v="Bank Transfer"/>
    <s v="May"/>
    <n v="2023"/>
    <n v="0.25"/>
    <n v="750.94"/>
    <x v="1"/>
  </r>
  <r>
    <n v="1044"/>
    <d v="2023-02-16T00:00:00"/>
    <s v="David"/>
    <s v="South"/>
    <n v="7754.1"/>
    <n v="22"/>
    <s v="Food"/>
    <n v="3454.76"/>
    <n v="0.22"/>
    <s v="Bank Transfer"/>
    <s v="Feb"/>
    <n v="2023"/>
    <n v="0.25"/>
    <n v="1938.5250000000001"/>
    <x v="1"/>
  </r>
  <r>
    <n v="1008"/>
    <d v="2023-01-01T00:00:00"/>
    <s v="Eve"/>
    <s v="North"/>
    <n v="5227.8100000000004"/>
    <n v="38"/>
    <s v="Clothing"/>
    <n v="5075.4399999999996"/>
    <n v="0.05"/>
    <s v="Cash"/>
    <s v="Jan"/>
    <n v="2023"/>
    <n v="0.25"/>
    <n v="1306.9525000000001"/>
    <x v="0"/>
  </r>
  <r>
    <n v="1035"/>
    <d v="2023-05-22T00:00:00"/>
    <s v="Alice"/>
    <s v="South"/>
    <n v="3780.22"/>
    <n v="45"/>
    <s v="Food"/>
    <n v="4624.1000000000004"/>
    <n v="0.15"/>
    <s v="Credit Card"/>
    <s v="May"/>
    <n v="2023"/>
    <n v="0.25"/>
    <n v="945.05499999999995"/>
    <x v="1"/>
  </r>
  <r>
    <n v="1078"/>
    <d v="2023-11-16T00:00:00"/>
    <s v="David"/>
    <s v="East"/>
    <n v="113.4"/>
    <n v="8"/>
    <s v="Furniture"/>
    <n v="3657.23"/>
    <n v="0.03"/>
    <s v="Bank Transfer"/>
    <s v="Nov"/>
    <n v="2023"/>
    <n v="0.25"/>
    <n v="28.35"/>
    <x v="0"/>
  </r>
  <r>
    <n v="1081"/>
    <d v="2023-02-07T00:00:00"/>
    <s v="David"/>
    <s v="East"/>
    <n v="3068.03"/>
    <n v="41"/>
    <s v="Furniture"/>
    <n v="2879.24"/>
    <n v="0.21"/>
    <s v="Bank Transfer"/>
    <s v="Feb"/>
    <n v="2023"/>
    <n v="0.25"/>
    <n v="767.00750000000005"/>
    <x v="0"/>
  </r>
  <r>
    <n v="1036"/>
    <d v="2023-10-20T00:00:00"/>
    <s v="David"/>
    <s v="North"/>
    <n v="6499.94"/>
    <n v="49"/>
    <s v="Clothing"/>
    <n v="1429.4399999999998"/>
    <n v="0.16"/>
    <s v="Cash"/>
    <s v="Oct"/>
    <n v="2023"/>
    <n v="0.25"/>
    <n v="1624.9849999999999"/>
    <x v="0"/>
  </r>
  <r>
    <n v="1050"/>
    <d v="2023-05-19T00:00:00"/>
    <s v="Charlie"/>
    <s v="East"/>
    <n v="9744.52"/>
    <n v="35"/>
    <s v="Clothing"/>
    <n v="2384.38"/>
    <n v="0.09"/>
    <s v="Bank Transfer"/>
    <s v="May"/>
    <n v="2023"/>
    <n v="0.25"/>
    <n v="2436.13"/>
    <x v="1"/>
  </r>
  <r>
    <n v="1006"/>
    <d v="2023-09-16T00:00:00"/>
    <s v="Bob"/>
    <s v="North"/>
    <n v="8995.75"/>
    <n v="49"/>
    <s v="Food"/>
    <n v="3146.6000000000004"/>
    <n v="0.08"/>
    <s v="Cash"/>
    <s v="Sep"/>
    <n v="2023"/>
    <n v="0.25"/>
    <n v="2248.9375"/>
    <x v="1"/>
  </r>
  <r>
    <n v="1054"/>
    <d v="2023-06-10T00:00:00"/>
    <s v="Bob"/>
    <s v="South"/>
    <n v="7853.66"/>
    <n v="21"/>
    <s v="Furniture"/>
    <n v="5040.22"/>
    <n v="0.05"/>
    <s v="Bank Transfer"/>
    <s v="Jun"/>
    <n v="2023"/>
    <n v="0.25"/>
    <n v="1963.415"/>
    <x v="0"/>
  </r>
  <r>
    <n v="1063"/>
    <d v="2023-05-18T00:00:00"/>
    <s v="Bob"/>
    <s v="West"/>
    <n v="3098.87"/>
    <n v="39"/>
    <s v="Food"/>
    <n v="3931.25"/>
    <n v="0.21"/>
    <s v="Cash"/>
    <s v="May"/>
    <n v="2023"/>
    <n v="0.25"/>
    <n v="774.71749999999997"/>
    <x v="1"/>
  </r>
  <r>
    <n v="1034"/>
    <d v="2023-05-10T00:00:00"/>
    <s v="Eve"/>
    <s v="East"/>
    <n v="4892.3599999999997"/>
    <n v="19"/>
    <s v="Clothing"/>
    <n v="2180.83"/>
    <n v="0.17"/>
    <s v="Credit Card"/>
    <s v="May"/>
    <n v="2023"/>
    <n v="0.25"/>
    <n v="1223.0899999999999"/>
    <x v="1"/>
  </r>
  <r>
    <n v="1074"/>
    <d v="2023-03-25T00:00:00"/>
    <s v="Eve"/>
    <s v="West"/>
    <n v="7499.7"/>
    <n v="38"/>
    <s v="Food"/>
    <n v="2836.94"/>
    <n v="0.19"/>
    <s v="Credit Card"/>
    <s v="Mar"/>
    <n v="2023"/>
    <n v="0.25"/>
    <n v="1874.925"/>
    <x v="0"/>
  </r>
  <r>
    <n v="1095"/>
    <d v="2023-11-25T00:00:00"/>
    <s v="Alice"/>
    <s v="East"/>
    <n v="9432.9699999999993"/>
    <n v="37"/>
    <s v="Electronics"/>
    <n v="860.95"/>
    <n v="0.1"/>
    <s v="Credit Card"/>
    <s v="Nov"/>
    <n v="2023"/>
    <n v="0.25"/>
    <n v="2358.2424999999998"/>
    <x v="1"/>
  </r>
  <r>
    <n v="1048"/>
    <d v="2023-09-30T00:00:00"/>
    <s v="Charlie"/>
    <s v="North"/>
    <n v="7873.38"/>
    <n v="4"/>
    <s v="Furniture"/>
    <n v="2910.5099999999998"/>
    <n v="0.22"/>
    <s v="Credit Card"/>
    <s v="Sep"/>
    <n v="2023"/>
    <n v="0.25"/>
    <n v="1968.345"/>
    <x v="1"/>
  </r>
  <r>
    <n v="1040"/>
    <d v="2023-03-10T00:00:00"/>
    <s v="Charlie"/>
    <s v="East"/>
    <n v="2331.27"/>
    <n v="13"/>
    <s v="Clothing"/>
    <n v="2882.85"/>
    <n v="0.24"/>
    <s v="Credit Card"/>
    <s v="Mar"/>
    <n v="2023"/>
    <n v="0.25"/>
    <n v="582.8175"/>
    <x v="0"/>
  </r>
  <r>
    <n v="1085"/>
    <d v="2023-11-14T00:00:00"/>
    <s v="Charlie"/>
    <s v="South"/>
    <n v="2038.75"/>
    <n v="32"/>
    <s v="Furniture"/>
    <n v="1492.48"/>
    <n v="0.04"/>
    <s v="Credit Card"/>
    <s v="Nov"/>
    <n v="2023"/>
    <n v="0.25"/>
    <n v="509.6875"/>
    <x v="1"/>
  </r>
  <r>
    <n v="1082"/>
    <d v="2023-11-30T00:00:00"/>
    <s v="Alice"/>
    <s v="South"/>
    <n v="6261.9"/>
    <n v="41"/>
    <s v="Electronics"/>
    <n v="1444.97"/>
    <n v="0.21"/>
    <s v="Bank Transfer"/>
    <s v="Nov"/>
    <n v="2023"/>
    <n v="0.25"/>
    <n v="1565.4749999999999"/>
    <x v="0"/>
  </r>
  <r>
    <n v="1026"/>
    <d v="2023-02-04T00:00:00"/>
    <s v="Alice"/>
    <s v="West"/>
    <n v="1554.93"/>
    <n v="19"/>
    <s v="Electronics"/>
    <n v="1715.83"/>
    <n v="0.05"/>
    <s v="Credit Card"/>
    <s v="Feb"/>
    <n v="2023"/>
    <n v="0.25"/>
    <n v="388.73250000000002"/>
    <x v="1"/>
  </r>
  <r>
    <n v="1041"/>
    <d v="2023-11-16T00:00:00"/>
    <s v="David"/>
    <s v="South"/>
    <n v="3942.84"/>
    <n v="40"/>
    <s v="Food"/>
    <n v="1067.53"/>
    <n v="0.18"/>
    <s v="Cash"/>
    <s v="Nov"/>
    <n v="2023"/>
    <n v="0.25"/>
    <n v="985.71"/>
    <x v="0"/>
  </r>
  <r>
    <n v="1029"/>
    <d v="2023-03-01T00:00:00"/>
    <s v="David"/>
    <s v="East"/>
    <n v="6773.89"/>
    <n v="28"/>
    <s v="Clothing"/>
    <n v="3108.3"/>
    <n v="0.15"/>
    <s v="Credit Card"/>
    <s v="Mar"/>
    <n v="2023"/>
    <n v="0.25"/>
    <n v="1693.4725000000001"/>
    <x v="1"/>
  </r>
  <r>
    <n v="1045"/>
    <d v="2023-12-15T00:00:00"/>
    <s v="David"/>
    <s v="South"/>
    <n v="3517.4"/>
    <n v="42"/>
    <s v="Clothing"/>
    <n v="3745.91"/>
    <n v="0.1"/>
    <s v="Cash"/>
    <s v="Dec"/>
    <n v="2023"/>
    <n v="0.25"/>
    <n v="879.35"/>
    <x v="0"/>
  </r>
  <r>
    <n v="1065"/>
    <d v="2023-11-24T00:00:00"/>
    <s v="Bob"/>
    <s v="East"/>
    <n v="9183.11"/>
    <n v="18"/>
    <s v="Food"/>
    <n v="1273.98"/>
    <n v="0.02"/>
    <s v="Bank Transfer"/>
    <s v="Nov"/>
    <n v="2023"/>
    <n v="0.25"/>
    <n v="2295.7775000000001"/>
    <x v="1"/>
  </r>
  <r>
    <n v="1001"/>
    <d v="2023-11-12T00:00:00"/>
    <s v="Alice"/>
    <s v="North"/>
    <n v="715.81"/>
    <n v="8"/>
    <s v="Electronics"/>
    <n v="3729.27"/>
    <n v="0.09"/>
    <s v="Bank Transfer"/>
    <s v="Nov"/>
    <n v="2023"/>
    <n v="0.25"/>
    <n v="178.95249999999999"/>
    <x v="1"/>
  </r>
  <r>
    <n v="1011"/>
    <d v="2023-06-14T00:00:00"/>
    <s v="Alice"/>
    <s v="South"/>
    <n v="4531.97"/>
    <n v="38"/>
    <s v="Furniture"/>
    <n v="4642.46"/>
    <n v="0.06"/>
    <s v="Bank Transfer"/>
    <s v="Jun"/>
    <n v="2023"/>
    <n v="0.25"/>
    <n v="1132.9925000000001"/>
    <x v="0"/>
  </r>
  <r>
    <n v="1005"/>
    <d v="2023-03-30T00:00:00"/>
    <s v="Alice"/>
    <s v="East"/>
    <n v="6828.24"/>
    <n v="12"/>
    <s v="Electronics"/>
    <n v="802.43000000000006"/>
    <n v="0.04"/>
    <s v="Credit Card"/>
    <s v="Mar"/>
    <n v="2023"/>
    <n v="0.25"/>
    <n v="1707.06"/>
    <x v="1"/>
  </r>
  <r>
    <n v="1028"/>
    <d v="2023-02-11T00:00:00"/>
    <s v="Alice"/>
    <s v="East"/>
    <n v="2819.57"/>
    <n v="24"/>
    <s v="Clothing"/>
    <n v="2766.05"/>
    <n v="0.16"/>
    <s v="Bank Transfer"/>
    <s v="Feb"/>
    <n v="2023"/>
    <n v="0.25"/>
    <n v="704.89250000000004"/>
    <x v="1"/>
  </r>
  <r>
    <n v="1012"/>
    <d v="2023-10-22T00:00:00"/>
    <s v="David"/>
    <s v="North"/>
    <n v="4384.88"/>
    <n v="34"/>
    <s v="Furniture"/>
    <n v="2521.77"/>
    <n v="0.21"/>
    <s v="Bank Transfer"/>
    <s v="Oct"/>
    <n v="2023"/>
    <n v="0.25"/>
    <n v="1096.22"/>
    <x v="1"/>
  </r>
  <r>
    <n v="1023"/>
    <d v="2023-06-28T00:00:00"/>
    <s v="Eve"/>
    <s v="East"/>
    <n v="2170.94"/>
    <n v="9"/>
    <s v="Clothing"/>
    <n v="4273.6000000000004"/>
    <n v="0.25"/>
    <s v="Cash"/>
    <s v="Jun"/>
    <n v="2023"/>
    <n v="0.25"/>
    <n v="542.73500000000001"/>
    <x v="1"/>
  </r>
  <r>
    <n v="1037"/>
    <d v="2023-01-23T00:00:00"/>
    <s v="Bob"/>
    <s v="North"/>
    <n v="9813.81"/>
    <n v="40"/>
    <s v="Clothing"/>
    <n v="3192.37"/>
    <n v="0.26"/>
    <s v="Bank Transfer"/>
    <s v="Jan"/>
    <n v="2023"/>
    <n v="0.25"/>
    <n v="2453.4524999999999"/>
    <x v="0"/>
  </r>
  <r>
    <n v="1099"/>
    <d v="2023-03-04T00:00:00"/>
    <s v="David"/>
    <s v="East"/>
    <n v="7952.11"/>
    <n v="10"/>
    <s v="Furniture"/>
    <n v="1955.56"/>
    <n v="0"/>
    <s v="Credit Card"/>
    <s v="Mar"/>
    <n v="2023"/>
    <n v="0.25"/>
    <n v="1988.0274999999999"/>
    <x v="0"/>
  </r>
  <r>
    <n v="1086"/>
    <d v="2023-06-02T00:00:00"/>
    <s v="Bob"/>
    <s v="East"/>
    <n v="2495.5700000000002"/>
    <n v="3"/>
    <s v="Electronics"/>
    <n v="1625.7099999999998"/>
    <n v="0.27"/>
    <s v="Cash"/>
    <s v="Jun"/>
    <n v="2023"/>
    <n v="0.25"/>
    <n v="623.89250000000004"/>
    <x v="0"/>
  </r>
  <r>
    <n v="1027"/>
    <d v="2023-01-15T00:00:00"/>
    <s v="Bob"/>
    <s v="West"/>
    <n v="6261.2"/>
    <n v="26"/>
    <s v="Food"/>
    <n v="477.67"/>
    <n v="0.14000000000000001"/>
    <s v="Cash"/>
    <s v="Jan"/>
    <n v="2023"/>
    <n v="0.25"/>
    <n v="1565.3"/>
    <x v="1"/>
  </r>
  <r>
    <n v="1079"/>
    <d v="2023-06-06T00:00:00"/>
    <s v="David"/>
    <s v="South"/>
    <n v="1982.07"/>
    <n v="34"/>
    <s v="Furniture"/>
    <n v="1993.4"/>
    <n v="0.15"/>
    <s v="Credit Card"/>
    <s v="Jun"/>
    <n v="2023"/>
    <n v="0.25"/>
    <n v="495.51749999999998"/>
    <x v="0"/>
  </r>
  <r>
    <n v="1077"/>
    <d v="2023-02-07T00:00:00"/>
    <s v="Eve"/>
    <s v="West"/>
    <n v="9605.34"/>
    <n v="12"/>
    <s v="Clothing"/>
    <n v="2743.09"/>
    <n v="0.28999999999999998"/>
    <s v="Credit Card"/>
    <s v="Feb"/>
    <n v="2023"/>
    <n v="0.25"/>
    <n v="2401.335"/>
    <x v="1"/>
  </r>
  <r>
    <n v="1096"/>
    <d v="2023-09-11T00:00:00"/>
    <s v="Eve"/>
    <s v="South"/>
    <n v="7597.37"/>
    <n v="23"/>
    <s v="Electronics"/>
    <n v="1032.22"/>
    <n v="0.25"/>
    <s v="Cash"/>
    <s v="Sep"/>
    <n v="2023"/>
    <n v="0.25"/>
    <n v="1899.3425"/>
    <x v="1"/>
  </r>
  <r>
    <n v="1094"/>
    <d v="2023-01-10T00:00:00"/>
    <s v="Eve"/>
    <s v="North"/>
    <n v="2548.67"/>
    <n v="25"/>
    <s v="Electronics"/>
    <n v="1982.92"/>
    <n v="0.17"/>
    <s v="Bank Transfer"/>
    <s v="Jan"/>
    <n v="2023"/>
    <n v="0.25"/>
    <n v="637.16750000000002"/>
    <x v="0"/>
  </r>
  <r>
    <n v="1043"/>
    <d v="2023-11-26T00:00:00"/>
    <s v="Bob"/>
    <s v="South"/>
    <n v="1710.73"/>
    <n v="3"/>
    <s v="Electronics"/>
    <n v="2186.42"/>
    <n v="0.25"/>
    <s v="Bank Transfer"/>
    <s v="Nov"/>
    <n v="2023"/>
    <n v="0.25"/>
    <n v="427.6825"/>
    <x v="0"/>
  </r>
  <r>
    <n v="1013"/>
    <d v="2023-10-21T00:00:00"/>
    <s v="David"/>
    <s v="East"/>
    <n v="5039.07"/>
    <n v="20"/>
    <s v="Electronics"/>
    <n v="1649.7399999999998"/>
    <n v="0.1"/>
    <s v="Bank Transfer"/>
    <s v="Oct"/>
    <n v="2023"/>
    <n v="0.25"/>
    <n v="1259.7674999999999"/>
    <x v="0"/>
  </r>
  <r>
    <n v="1032"/>
    <d v="2023-06-08T00:00:00"/>
    <s v="Eve"/>
    <s v="West"/>
    <n v="219.82"/>
    <n v="49"/>
    <s v="Electronics"/>
    <n v="5088"/>
    <n v="0.09"/>
    <s v="Credit Card"/>
    <s v="Jun"/>
    <n v="2023"/>
    <n v="0.25"/>
    <n v="54.954999999999998"/>
    <x v="0"/>
  </r>
  <r>
    <n v="1066"/>
    <d v="2023-07-03T00:00:00"/>
    <s v="Charlie"/>
    <s v="North"/>
    <n v="6380.2"/>
    <n v="15"/>
    <s v="Furniture"/>
    <n v="2867.36"/>
    <n v="0.04"/>
    <s v="Bank Transfer"/>
    <s v="Jul"/>
    <n v="2023"/>
    <n v="0.25"/>
    <n v="1595.05"/>
    <x v="1"/>
  </r>
  <r>
    <n v="1057"/>
    <d v="2023-09-18T00:00:00"/>
    <s v="Charlie"/>
    <s v="West"/>
    <n v="7315.73"/>
    <n v="25"/>
    <s v="Food"/>
    <n v="2027.74"/>
    <n v="0.02"/>
    <s v="Bank Transfer"/>
    <s v="Sep"/>
    <n v="2023"/>
    <n v="0.25"/>
    <n v="1828.9324999999999"/>
    <x v="1"/>
  </r>
  <r>
    <n v="1097"/>
    <d v="2023-10-26T00:00:00"/>
    <s v="Alice"/>
    <s v="East"/>
    <n v="7633.98"/>
    <n v="27"/>
    <s v="Electronics"/>
    <n v="5046.51"/>
    <n v="0.05"/>
    <s v="Credit Card"/>
    <s v="Oct"/>
    <n v="2023"/>
    <n v="0.25"/>
    <n v="1908.4949999999999"/>
    <x v="1"/>
  </r>
  <r>
    <n v="1070"/>
    <d v="2023-11-26T00:00:00"/>
    <s v="David"/>
    <s v="North"/>
    <n v="5813.51"/>
    <n v="40"/>
    <s v="Furniture"/>
    <n v="3258.45"/>
    <n v="0.28999999999999998"/>
    <s v="Cash"/>
    <s v="Nov"/>
    <n v="2023"/>
    <n v="0.25"/>
    <n v="1453.3775000000001"/>
    <x v="0"/>
  </r>
  <r>
    <n v="1056"/>
    <d v="2023-05-07T00:00:00"/>
    <s v="David"/>
    <s v="East"/>
    <n v="7611.88"/>
    <n v="28"/>
    <s v="Clothing"/>
    <n v="1576.34"/>
    <n v="0.2"/>
    <s v="Bank Transfer"/>
    <s v="May"/>
    <n v="2023"/>
    <n v="0.25"/>
    <n v="1902.97"/>
    <x v="0"/>
  </r>
  <r>
    <n v="1019"/>
    <d v="2023-10-29T00:00:00"/>
    <s v="David"/>
    <s v="West"/>
    <n v="5952.19"/>
    <n v="31"/>
    <s v="Food"/>
    <n v="685.1"/>
    <n v="0.04"/>
    <s v="Bank Transfer"/>
    <s v="Oct"/>
    <n v="2023"/>
    <n v="0.25"/>
    <n v="1488.0474999999999"/>
    <x v="0"/>
  </r>
  <r>
    <n v="1068"/>
    <d v="2023-02-24T00:00:00"/>
    <s v="Bob"/>
    <s v="North"/>
    <n v="5118.51"/>
    <n v="22"/>
    <s v="Clothing"/>
    <n v="3651.42"/>
    <n v="0.26"/>
    <s v="Bank Transfer"/>
    <s v="Feb"/>
    <n v="2023"/>
    <n v="0.25"/>
    <n v="1279.6275000000001"/>
    <x v="0"/>
  </r>
  <r>
    <n v="1017"/>
    <d v="2023-07-21T00:00:00"/>
    <s v="David"/>
    <s v="East"/>
    <n v="3388.69"/>
    <n v="1"/>
    <s v="Food"/>
    <n v="404.69"/>
    <n v="0.28999999999999998"/>
    <s v="Bank Transfer"/>
    <s v="Jul"/>
    <n v="2023"/>
    <n v="0.25"/>
    <n v="847.17250000000001"/>
    <x v="0"/>
  </r>
  <r>
    <n v="1069"/>
    <d v="2023-06-03T00:00:00"/>
    <s v="David"/>
    <s v="West"/>
    <n v="6581.04"/>
    <n v="42"/>
    <s v="Clothing"/>
    <n v="1482.88"/>
    <n v="0.28000000000000003"/>
    <s v="Credit Card"/>
    <s v="Jun"/>
    <n v="2023"/>
    <n v="0.25"/>
    <n v="1645.26"/>
    <x v="1"/>
  </r>
  <r>
    <n v="1098"/>
    <d v="2023-10-18T00:00:00"/>
    <s v="Eve"/>
    <s v="West"/>
    <n v="1600.79"/>
    <n v="21"/>
    <s v="Furniture"/>
    <n v="828.94999999999993"/>
    <n v="0.18"/>
    <s v="Bank Transfer"/>
    <s v="Oct"/>
    <n v="2023"/>
    <n v="0.25"/>
    <n v="400.19749999999999"/>
    <x v="0"/>
  </r>
  <r>
    <n v="1016"/>
    <d v="2023-03-31T00:00:00"/>
    <s v="Eve"/>
    <s v="East"/>
    <n v="4309.76"/>
    <n v="38"/>
    <s v="Electronics"/>
    <n v="4152.72"/>
    <n v="0.26"/>
    <s v="Cash"/>
    <s v="Mar"/>
    <n v="2023"/>
    <n v="0.25"/>
    <n v="1077.44"/>
    <x v="0"/>
  </r>
  <r>
    <n v="1020"/>
    <d v="2023-09-08T00:00:00"/>
    <s v="Eve"/>
    <s v="North"/>
    <n v="9733.4699999999993"/>
    <n v="26"/>
    <s v="Clothing"/>
    <n v="4770.42"/>
    <n v="0.01"/>
    <s v="Credit Card"/>
    <s v="Sep"/>
    <n v="2023"/>
    <n v="0.25"/>
    <n v="2433.3674999999998"/>
    <x v="1"/>
  </r>
  <r>
    <n v="1067"/>
    <d v="2023-06-29T00:00:00"/>
    <s v="Eve"/>
    <s v="South"/>
    <n v="114.59"/>
    <n v="48"/>
    <s v="Food"/>
    <n v="4625.5599999999995"/>
    <n v="0.1"/>
    <s v="Bank Transfer"/>
    <s v="Jun"/>
    <n v="2023"/>
    <n v="0.25"/>
    <n v="28.647500000000001"/>
    <x v="0"/>
  </r>
  <r>
    <n v="1031"/>
    <d v="2023-12-08T00:00:00"/>
    <s v="David"/>
    <s v="North"/>
    <n v="7567.06"/>
    <n v="22"/>
    <s v="Food"/>
    <n v="4382.3200000000006"/>
    <n v="0.2"/>
    <s v="Bank Transfer"/>
    <s v="Dec"/>
    <n v="2023"/>
    <n v="0.25"/>
    <n v="1891.7650000000001"/>
    <x v="0"/>
  </r>
  <r>
    <n v="1025"/>
    <d v="2023-10-15T00:00:00"/>
    <s v="David"/>
    <s v="North"/>
    <n v="3422.54"/>
    <n v="44"/>
    <s v="Food"/>
    <n v="1717.97"/>
    <n v="0.02"/>
    <s v="Credit Card"/>
    <s v="Oct"/>
    <n v="2023"/>
    <n v="0.25"/>
    <n v="855.63499999999999"/>
    <x v="1"/>
  </r>
  <r>
    <n v="1046"/>
    <d v="2023-01-20T00:00:00"/>
    <s v="Eve"/>
    <s v="East"/>
    <n v="4104.82"/>
    <n v="43"/>
    <s v="Clothing"/>
    <n v="4199.3"/>
    <n v="0.1"/>
    <s v="Bank Transfer"/>
    <s v="Jan"/>
    <n v="2023"/>
    <n v="0.25"/>
    <n v="1026.2049999999999"/>
    <x v="1"/>
  </r>
  <r>
    <n v="1010"/>
    <d v="2023-02-16T00:00:00"/>
    <s v="David"/>
    <s v="East"/>
    <n v="1678.97"/>
    <n v="47"/>
    <s v="Furniture"/>
    <n v="2429.9300000000003"/>
    <n v="0.06"/>
    <s v="Bank Transfer"/>
    <s v="Feb"/>
    <n v="2023"/>
    <n v="0.25"/>
    <n v="419.742500000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165" outline="0" showAll="0"/>
  </pivotFields>
  <rowFields count="1">
    <field x="1"/>
  </rowFields>
  <rowItems count="4">
    <i>
      <x/>
    </i>
    <i>
      <x v="1"/>
    </i>
    <i>
      <x v="2"/>
    </i>
    <i t="grand">
      <x/>
    </i>
  </rowItems>
  <colItems count="1">
    <i/>
  </colItems>
  <dataFields count="1">
    <dataField name="Sum of Amount" fld="3" baseField="0" baseItem="0" numFmtId="164"/>
  </dataFields>
  <formats count="2">
    <format dxfId="198">
      <pivotArea outline="0" collapsedLevelsAreSubtotals="1" fieldPosition="0">
        <references count="1">
          <reference field="1" count="0" selected="0"/>
        </references>
      </pivotArea>
    </format>
    <format dxfId="1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164"/>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165"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164"/>
  </dataFields>
  <formats count="1">
    <format dxfId="18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4"/>
  </dataFields>
  <formats count="2">
    <format dxfId="158">
      <pivotArea outline="0" collapsedLevelsAreSubtotals="1" fieldPosition="0"/>
    </format>
    <format dxfId="1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7"/>
  </dataFields>
  <formats count="1">
    <format dxfId="1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13">
    <format dxfId="143">
      <pivotArea outline="0" collapsedLevelsAreSubtotals="1" fieldPosition="0"/>
    </format>
    <format dxfId="142">
      <pivotArea dataOnly="0" labelOnly="1" outline="0" fieldPosition="0">
        <references count="1">
          <reference field="1" count="0"/>
        </references>
      </pivotArea>
    </format>
    <format dxfId="141">
      <pivotArea dataOnly="0" labelOnly="1" outline="0" fieldPosition="0">
        <references count="1">
          <reference field="1" count="0"/>
        </references>
      </pivotArea>
    </format>
    <format dxfId="140">
      <pivotArea dataOnly="0" labelOnly="1" outline="0" fieldPosition="0">
        <references count="1">
          <reference field="1" count="0"/>
        </references>
      </pivotArea>
    </format>
    <format dxfId="139">
      <pivotArea dataOnly="0" labelOnly="1" outline="0" fieldPosition="0">
        <references count="1">
          <reference field="1" count="1">
            <x v="0"/>
          </reference>
        </references>
      </pivotArea>
    </format>
    <format dxfId="138">
      <pivotArea dataOnly="0" labelOnly="1" outline="0" fieldPosition="0">
        <references count="1">
          <reference field="1" count="1">
            <x v="0"/>
          </reference>
        </references>
      </pivotArea>
    </format>
    <format dxfId="137">
      <pivotArea field="1" type="button" dataOnly="0" labelOnly="1" outline="0" axis="axisRow" fieldPosition="0"/>
    </format>
    <format dxfId="136">
      <pivotArea dataOnly="0" labelOnly="1" outline="0" fieldPosition="0">
        <references count="1">
          <reference field="1" count="0"/>
        </references>
      </pivotArea>
    </format>
    <format dxfId="135">
      <pivotArea field="1" type="button" dataOnly="0" labelOnly="1" outline="0" axis="axisRow" fieldPosition="0"/>
    </format>
    <format dxfId="134">
      <pivotArea dataOnly="0" labelOnly="1" outline="0" fieldPosition="0">
        <references count="1">
          <reference field="1" count="0"/>
        </references>
      </pivotArea>
    </format>
    <format dxfId="133">
      <pivotArea field="1" type="button" dataOnly="0" labelOnly="1" outline="0" axis="axisRow" fieldPosition="0"/>
    </format>
    <format dxfId="132">
      <pivotArea dataOnly="0" labelOnly="1" outline="0" fieldPosition="0">
        <references count="1">
          <reference field="1" count="0"/>
        </references>
      </pivotArea>
    </format>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Items count="1">
    <i/>
  </colItems>
  <dataFields count="1">
    <dataField name="Sum of Amount" fld="3" baseField="0" baseItem="0" numFmtId="164"/>
  </dataFields>
  <formats count="11">
    <format dxfId="124">
      <pivotArea outline="0" collapsedLevelsAreSubtotals="1" fieldPosition="0"/>
    </format>
    <format dxfId="123">
      <pivotArea dataOnly="0" labelOnly="1" outline="0" fieldPosition="0">
        <references count="1">
          <reference field="2" count="0"/>
        </references>
      </pivotArea>
    </format>
    <format dxfId="122">
      <pivotArea field="2" type="button" dataOnly="0" labelOnly="1" outline="0" axis="axisRow" fieldPosition="0"/>
    </format>
    <format dxfId="121">
      <pivotArea dataOnly="0" labelOnly="1" outline="0" fieldPosition="0">
        <references count="1">
          <reference field="2" count="0"/>
        </references>
      </pivotArea>
    </format>
    <format dxfId="120">
      <pivotArea field="2" type="button" dataOnly="0" labelOnly="1" outline="0" axis="axisRow" fieldPosition="0"/>
    </format>
    <format dxfId="119">
      <pivotArea dataOnly="0" labelOnly="1" outline="0" fieldPosition="0">
        <references count="1">
          <reference field="2" count="0"/>
        </references>
      </pivotArea>
    </format>
    <format dxfId="118">
      <pivotArea field="2" type="button" dataOnly="0" labelOnly="1" outline="0" axis="axisRow" fieldPosition="0"/>
    </format>
    <format dxfId="117">
      <pivotArea dataOnly="0" labelOnly="1" outline="0" fieldPosition="0">
        <references count="1">
          <reference field="2" count="0"/>
        </references>
      </pivotArea>
    </format>
    <format dxfId="116">
      <pivotArea field="2" type="button" dataOnly="0" labelOnly="1" outline="0" axis="axisRow" fieldPosition="0"/>
    </format>
    <format dxfId="115">
      <pivotArea dataOnly="0" labelOnly="1" outline="0" fieldPosition="0">
        <references count="1">
          <reference field="2" count="0"/>
        </references>
      </pivotArea>
    </format>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3"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4">
    <format dxfId="107">
      <pivotArea outline="0" collapsedLevelsAreSubtotals="1" fieldPosition="0"/>
    </format>
    <format dxfId="106">
      <pivotArea field="1" type="button" dataOnly="0" labelOnly="1" outline="0" axis="axisRow" fieldPosition="0"/>
    </format>
    <format dxfId="105">
      <pivotArea dataOnly="0" labelOnly="1" outline="0" fieldPosition="0">
        <references count="1">
          <reference field="1" count="0"/>
        </references>
      </pivotArea>
    </format>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2">
    <format dxfId="97">
      <pivotArea outline="0" collapsedLevelsAreSubtotals="1" fieldPosition="0"/>
    </format>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D12:E16" firstHeaderRow="1" firstDataRow="1" firstDataCol="1"/>
  <pivotFields count="4">
    <pivotField numFmtId="166" subtotalTop="0" showAll="0"/>
    <pivotField axis="axisRow" subtotalTop="0" showAll="0">
      <items count="4">
        <item x="1"/>
        <item x="2"/>
        <item x="0"/>
        <item t="default"/>
      </items>
    </pivotField>
    <pivotField subtotalTop="0" showAll="0"/>
    <pivotField dataField="1" numFmtId="164" subtotalTop="0" showAll="0"/>
  </pivotFields>
  <rowFields count="1">
    <field x="1"/>
  </rowFields>
  <rowItems count="4">
    <i>
      <x/>
    </i>
    <i>
      <x v="1"/>
    </i>
    <i>
      <x v="2"/>
    </i>
    <i t="grand">
      <x/>
    </i>
  </rowItems>
  <colItems count="1">
    <i/>
  </colItems>
  <dataFields count="1">
    <dataField name="Sum of Amount" fld="3" baseField="0" baseItem="0" numFmtId="164"/>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4:I18" firstHeaderRow="1" firstDataRow="1" firstDataCol="1"/>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ubtotalTop="0" showAll="0">
      <items count="4">
        <item x="1"/>
        <item x="2"/>
        <item x="0"/>
        <item t="default"/>
      </items>
    </pivotField>
    <pivotField compact="0" outline="0" subtotalTop="0" showAll="0"/>
    <pivotField dataField="1" compact="0" numFmtId="165" outline="0" subtotalTop="0" showAll="0"/>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i>
    <i>
      <x v="1"/>
    </i>
    <i>
      <x v="2"/>
    </i>
    <i t="grand">
      <x/>
    </i>
  </rowItems>
  <colItems count="1">
    <i/>
  </colItems>
  <dataFields count="1">
    <dataField name="Sum of Amount" fld="3" baseField="0" baseItem="0" numFmtId="165"/>
  </dataFields>
  <formats count="2">
    <format dxfId="80">
      <pivotArea outline="0" collapsedLevelsAreSubtotals="1" fieldPosition="0"/>
    </format>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340B650-D8F9-4D0E-A2EF-ACE487E98461}"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
    <pivotField numFmtId="166" showAll="0"/>
    <pivotField axis="axisRow" showAll="0">
      <items count="4">
        <item x="1"/>
        <item x="2"/>
        <item x="0"/>
        <item t="default"/>
      </items>
    </pivotField>
    <pivotField showAll="0"/>
    <pivotField dataField="1" numFmtId="164" showAll="0"/>
  </pivotFields>
  <rowFields count="1">
    <field x="1"/>
  </rowFields>
  <rowItems count="4">
    <i>
      <x/>
    </i>
    <i>
      <x v="1"/>
    </i>
    <i>
      <x v="2"/>
    </i>
    <i t="grand">
      <x/>
    </i>
  </rowItems>
  <colItems count="1">
    <i/>
  </colItems>
  <dataFields count="1">
    <dataField name="Sum of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9AE56D-F51C-4C45-B7E0-5289E2C4A0EF}"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E8:AF12" firstHeaderRow="1" firstDataRow="1" firstDataCol="1"/>
  <pivotFields count="15">
    <pivotField showAll="0"/>
    <pivotField numFmtId="14" showAll="0"/>
    <pivotField showAll="0"/>
    <pivotField showAll="0"/>
    <pivotField dataField="1" showAll="0"/>
    <pivotField showAll="0"/>
    <pivotField showAll="0"/>
    <pivotField showAll="0"/>
    <pivotField numFmtId="9" showAll="0"/>
    <pivotField axis="axisRow" showAll="0">
      <items count="4">
        <item x="1"/>
        <item x="0"/>
        <item x="2"/>
        <item t="default"/>
      </items>
    </pivotField>
    <pivotField showAll="0"/>
    <pivotField showAll="0"/>
    <pivotField numFmtId="10" showAll="0"/>
    <pivotField numFmtId="180" showAll="0"/>
    <pivotField showAll="0"/>
  </pivotFields>
  <rowFields count="1">
    <field x="9"/>
  </rowFields>
  <rowItems count="4">
    <i>
      <x/>
    </i>
    <i>
      <x v="1"/>
    </i>
    <i>
      <x v="2"/>
    </i>
    <i t="grand">
      <x/>
    </i>
  </rowItems>
  <colItems count="1">
    <i/>
  </colItems>
  <dataFields count="1">
    <dataField name="Sum of Sales Amount" fld="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E2E0212-27F5-4DA2-AE48-12DCC0716C42}"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B28:AC33" firstHeaderRow="1" firstDataRow="1" firstDataCol="1"/>
  <pivotFields count="15">
    <pivotField showAll="0"/>
    <pivotField numFmtId="14" showAll="0"/>
    <pivotField showAll="0"/>
    <pivotField showAll="0"/>
    <pivotField dataField="1" showAll="0"/>
    <pivotField showAll="0"/>
    <pivotField axis="axisRow" showAll="0">
      <items count="5">
        <item x="2"/>
        <item x="3"/>
        <item x="1"/>
        <item x="0"/>
        <item t="default"/>
      </items>
    </pivotField>
    <pivotField showAll="0"/>
    <pivotField numFmtId="9" showAll="0"/>
    <pivotField showAll="0"/>
    <pivotField showAll="0"/>
    <pivotField showAll="0"/>
    <pivotField numFmtId="10" showAll="0"/>
    <pivotField numFmtId="180" showAll="0"/>
    <pivotField showAll="0"/>
  </pivotFields>
  <rowFields count="1">
    <field x="6"/>
  </rowFields>
  <rowItems count="5">
    <i>
      <x/>
    </i>
    <i>
      <x v="1"/>
    </i>
    <i>
      <x v="2"/>
    </i>
    <i>
      <x v="3"/>
    </i>
    <i t="grand">
      <x/>
    </i>
  </rowItems>
  <colItems count="1">
    <i/>
  </colItems>
  <dataFields count="1">
    <dataField name="Sum of Sales Amount" fld="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25DDC8D-9A4C-4C17-A0AB-DAB2DEAC147E}"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E18:AF23" firstHeaderRow="1" firstDataRow="1" firstDataCol="1"/>
  <pivotFields count="15">
    <pivotField showAll="0"/>
    <pivotField numFmtId="14" showAll="0"/>
    <pivotField showAll="0"/>
    <pivotField axis="axisRow" showAll="0">
      <items count="5">
        <item x="3"/>
        <item x="0"/>
        <item x="2"/>
        <item x="1"/>
        <item t="default"/>
      </items>
    </pivotField>
    <pivotField dataField="1" showAll="0"/>
    <pivotField showAll="0"/>
    <pivotField showAll="0"/>
    <pivotField showAll="0"/>
    <pivotField numFmtId="9" showAll="0"/>
    <pivotField showAll="0"/>
    <pivotField showAll="0"/>
    <pivotField showAll="0"/>
    <pivotField numFmtId="10" showAll="0"/>
    <pivotField numFmtId="180" showAll="0"/>
    <pivotField showAll="0"/>
  </pivotFields>
  <rowFields count="1">
    <field x="3"/>
  </rowFields>
  <rowItems count="5">
    <i>
      <x/>
    </i>
    <i>
      <x v="1"/>
    </i>
    <i>
      <x v="2"/>
    </i>
    <i>
      <x v="3"/>
    </i>
    <i t="grand">
      <x/>
    </i>
  </rowItems>
  <colItems count="1">
    <i/>
  </colItems>
  <dataFields count="1">
    <dataField name="Sum of Sales Amount"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2F6BB9F-81FB-47CA-AF67-6CCA93059A9F}"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X8:Y21" firstHeaderRow="1" firstDataRow="1" firstDataCol="1"/>
  <pivotFields count="15">
    <pivotField showAll="0"/>
    <pivotField numFmtId="14" showAll="0"/>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numFmtId="9" showAll="0"/>
    <pivotField showAll="0">
      <items count="4">
        <item x="1"/>
        <item x="0"/>
        <item x="2"/>
        <item t="default"/>
      </items>
    </pivotField>
    <pivotField axis="axisRow" showAll="0">
      <items count="13">
        <item x="5"/>
        <item x="0"/>
        <item x="4"/>
        <item x="1"/>
        <item x="10"/>
        <item x="6"/>
        <item x="11"/>
        <item x="3"/>
        <item x="2"/>
        <item x="9"/>
        <item x="7"/>
        <item x="8"/>
        <item t="default"/>
      </items>
    </pivotField>
    <pivotField showAll="0"/>
    <pivotField numFmtId="10" showAll="0"/>
    <pivotField numFmtId="180"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Sales Amount" fld="4"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4DF586B-C7F2-4DD0-A4C0-62F421C59267}"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5">
    <pivotField showAll="0"/>
    <pivotField numFmtId="14" showAll="0"/>
    <pivotField showAll="0"/>
    <pivotField showAll="0"/>
    <pivotField dataField="1" showAll="0"/>
    <pivotField showAll="0"/>
    <pivotField showAll="0"/>
    <pivotField showAll="0"/>
    <pivotField numFmtId="9" showAll="0"/>
    <pivotField showAll="0"/>
    <pivotField showAll="0"/>
    <pivotField showAll="0"/>
    <pivotField numFmtId="10" showAll="0"/>
    <pivotField numFmtId="180" showAll="0"/>
    <pivotField axis="axisRow" showAll="0">
      <items count="3">
        <item x="0"/>
        <item x="1"/>
        <item t="default"/>
      </items>
    </pivotField>
  </pivotFields>
  <rowFields count="1">
    <field x="14"/>
  </rowFields>
  <rowItems count="3">
    <i>
      <x/>
    </i>
    <i>
      <x v="1"/>
    </i>
    <i t="grand">
      <x/>
    </i>
  </rowItems>
  <colItems count="1">
    <i/>
  </colItems>
  <dataFields count="1">
    <dataField name="Sum of Sales Amount" fld="4"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4" count="1" selected="0">
            <x v="0"/>
          </reference>
        </references>
      </pivotArea>
    </chartFormat>
    <chartFormat chart="5" format="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E2586D-3A83-46C7-A41A-7924D828B2E4}" sourceName="Region">
  <pivotTables>
    <pivotTable tabId="32" name="PivotTable2"/>
  </pivotTables>
  <data>
    <tabular pivotCacheId="195050683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41841B-CA5A-4100-A589-4913A61DC013}" sourceName="Category">
  <pivotTables>
    <pivotTable tabId="32" name="PivotTable2"/>
  </pivotTables>
  <data>
    <tabular pivotCacheId="1950506836">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8F96737-FC4F-4209-AD37-1696DC90810D}" sourceName="Payment Method">
  <pivotTables>
    <pivotTable tabId="32" name="PivotTable2"/>
  </pivotTables>
  <data>
    <tabular pivotCacheId="195050683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5038291-7042-4E91-AB26-7ACC751D04C6}" sourceName="Month">
  <pivotTables>
    <pivotTable tabId="32" name="PivotTable2"/>
  </pivotTables>
  <data>
    <tabular pivotCacheId="1950506836">
      <items count="12">
        <i x="5" s="1"/>
        <i x="0" s="1"/>
        <i x="4" s="1"/>
        <i x="1" s="1"/>
        <i x="10" s="1"/>
        <i x="6" s="1"/>
        <i x="11" s="1"/>
        <i x="3" s="1"/>
        <i x="2" s="1"/>
        <i x="9"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64166B-53E2-4226-A414-380193218C2C}" cache="Slicer_Region" caption="Region" rowHeight="241300"/>
  <slicer name="Category" xr10:uid="{4C17703F-F539-473E-9F43-9210BA17FACE}" cache="Slicer_Category" caption="Category" rowHeight="241300"/>
  <slicer name="Payment Method" xr10:uid="{55BD36E4-8FC0-418F-BC92-53D6CD109951}" cache="Slicer_Payment_Method" caption="Payment Method" rowHeight="241300"/>
  <slicer name="Month" xr10:uid="{86C6C133-FA2A-4A79-B1F0-CA32FC02B7A0}" cache="Slicer_Month" caption="Month"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96" tableBorderDxfId="195">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94" dataCellStyle="Date"/>
    <tableColumn id="2" xr3:uid="{00000000-0010-0000-0000-000002000000}" name="Buyer" dataDxfId="193"/>
    <tableColumn id="3" xr3:uid="{00000000-0010-0000-0000-000003000000}" name="Type" dataDxfId="192"/>
    <tableColumn id="4" xr3:uid="{00000000-0010-0000-0000-000004000000}" name="Amount" dataDxfId="19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89" tableBorderDxfId="188">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187" dataCellStyle="Date"/>
    <tableColumn id="2" xr3:uid="{00000000-0010-0000-0100-000002000000}" name="Buyer" dataDxfId="186"/>
    <tableColumn id="3" xr3:uid="{00000000-0010-0000-0100-000003000000}" name="Type" dataDxfId="185"/>
    <tableColumn id="4" xr3:uid="{00000000-0010-0000-0100-000004000000}" name="Amount" dataDxfId="18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182" tableBorderDxfId="181">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180" dataCellStyle="Date"/>
    <tableColumn id="2" xr3:uid="{00000000-0010-0000-0200-000002000000}" name="Buyer" dataDxfId="179"/>
    <tableColumn id="3" xr3:uid="{00000000-0010-0000-0200-000003000000}" name="Type" dataDxfId="178"/>
    <tableColumn id="4" xr3:uid="{00000000-0010-0000-0200-000004000000}" name="Amount" dataDxfId="17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176" tableBorderDxfId="175">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174" dataCellStyle="Date"/>
    <tableColumn id="2" xr3:uid="{00000000-0010-0000-0300-000002000000}" name="Buyer" dataDxfId="173"/>
    <tableColumn id="3" xr3:uid="{00000000-0010-0000-0300-000003000000}" name="Type" dataDxfId="172"/>
    <tableColumn id="4" xr3:uid="{00000000-0010-0000-0300-000004000000}" name="Amount" dataDxfId="171"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170" tableBorderDxfId="169">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168" dataCellStyle="Date"/>
    <tableColumn id="2" xr3:uid="{00000000-0010-0000-0400-000002000000}" name="Buyer" dataDxfId="167"/>
    <tableColumn id="3" xr3:uid="{00000000-0010-0000-0400-000003000000}" name="Type" dataDxfId="166"/>
    <tableColumn id="4" xr3:uid="{00000000-0010-0000-0400-000004000000}" name="Amount" dataDxfId="16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164" tableBorderDxfId="163">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162" dataCellStyle="Date"/>
    <tableColumn id="2" xr3:uid="{00000000-0010-0000-0500-000002000000}" name="Buyer" dataDxfId="161"/>
    <tableColumn id="3" xr3:uid="{00000000-0010-0000-0500-000003000000}" name="Type" dataDxfId="160"/>
    <tableColumn id="4" xr3:uid="{00000000-0010-0000-0500-000004000000}" name="Amount" dataDxfId="159"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156" tableBorderDxfId="155">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154"/>
    <tableColumn id="2" xr3:uid="{00000000-0010-0000-0600-000002000000}" name="Buyer" dataDxfId="153"/>
    <tableColumn id="3" xr3:uid="{00000000-0010-0000-0600-000003000000}" name="Type" dataDxfId="152"/>
    <tableColumn id="4" xr3:uid="{00000000-0010-0000-0600-000004000000}" name="Amount" dataDxfId="151"/>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149" tableBorderDxfId="148">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147" dataCellStyle="Date"/>
    <tableColumn id="2" xr3:uid="{00000000-0010-0000-0700-000002000000}" name="Buyer" dataDxfId="146"/>
    <tableColumn id="3" xr3:uid="{00000000-0010-0000-0700-000003000000}" name="Type" dataDxfId="145"/>
    <tableColumn id="4" xr3:uid="{00000000-0010-0000-0700-000004000000}" name="Amount" dataDxfId="14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130" tableBorderDxfId="129">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128" dataCellStyle="Date"/>
    <tableColumn id="2" xr3:uid="{00000000-0010-0000-0800-000002000000}" name="Buyer" dataDxfId="127"/>
    <tableColumn id="3" xr3:uid="{00000000-0010-0000-0800-000003000000}" name="Type" dataDxfId="126"/>
    <tableColumn id="4" xr3:uid="{00000000-0010-0000-0800-000004000000}" name="Amount" dataDxfId="12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113" tableBorderDxfId="112">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111"/>
    <tableColumn id="2" xr3:uid="{00000000-0010-0000-0900-000002000000}" name="Buyer" dataDxfId="110"/>
    <tableColumn id="3" xr3:uid="{00000000-0010-0000-0900-000003000000}" name="Type" dataDxfId="109"/>
    <tableColumn id="4" xr3:uid="{00000000-0010-0000-0900-000004000000}" name="Amount" dataDxfId="108"/>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103" tableBorderDxfId="102">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101" dataCellStyle="Date"/>
    <tableColumn id="2" xr3:uid="{00000000-0010-0000-0A00-000002000000}" name="Buyer" dataDxfId="100"/>
    <tableColumn id="3" xr3:uid="{00000000-0010-0000-0A00-000003000000}" name="Type" dataDxfId="99"/>
    <tableColumn id="4" xr3:uid="{00000000-0010-0000-0A00-000004000000}" name="Amount" dataDxfId="9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95" tableBorderDxfId="94">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93" dataCellStyle="Date"/>
    <tableColumn id="2" xr3:uid="{00000000-0010-0000-0B00-000002000000}" name="Buyer" dataDxfId="92"/>
    <tableColumn id="3" xr3:uid="{00000000-0010-0000-0B00-000003000000}" name="Type" dataDxfId="91"/>
    <tableColumn id="4" xr3:uid="{00000000-0010-0000-0B00-000004000000}" name="Amount" dataDxfId="9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89" tableBorderDxfId="88">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87" dataCellStyle="Date"/>
    <tableColumn id="2" xr3:uid="{00000000-0010-0000-0C00-000002000000}" name="Buyer" dataDxfId="86"/>
    <tableColumn id="3" xr3:uid="{00000000-0010-0000-0C00-000003000000}" name="Type" dataDxfId="85"/>
    <tableColumn id="4" xr3:uid="{00000000-0010-0000-0C00-000004000000}" name="Amount" dataDxfId="8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78" tableBorderDxfId="77">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76" dataCellStyle="Date"/>
    <tableColumn id="2" xr3:uid="{00000000-0010-0000-0D00-000002000000}" name="Buyer" dataDxfId="75"/>
    <tableColumn id="3" xr3:uid="{00000000-0010-0000-0D00-000003000000}" name="Type" dataDxfId="74"/>
    <tableColumn id="4" xr3:uid="{00000000-0010-0000-0D00-000004000000}" name="Amount" dataDxfId="7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DB651AF-C954-41C8-8CFA-22C89B6CFDBF}" name="Score12" displayName="Score12" ref="A18:K31" totalsRowCount="1">
  <autoFilter ref="A18:K30" xr:uid="{3DB651AF-C954-41C8-8CFA-22C89B6CFDBF}"/>
  <tableColumns count="11">
    <tableColumn id="1" xr3:uid="{892C8322-5919-4351-8274-1F1423B958F2}" name="Id" totalsRowLabel="Total"/>
    <tableColumn id="2" xr3:uid="{3209B582-A27E-4557-906C-F9CE4B64921E}" name="F_name"/>
    <tableColumn id="3" xr3:uid="{4114B916-0EE6-46B9-83F4-4504302E7F0D}" name="S_name"/>
    <tableColumn id="4" xr3:uid="{291C8C5F-FABE-4979-863B-99C8298EE9F1}" name="Sex"/>
    <tableColumn id="5" xr3:uid="{14E06A52-C6A5-40F6-9208-5DC8952F345D}" name="DOB"/>
    <tableColumn id="6" xr3:uid="{3A3408A2-0673-4294-A286-CAC3177160D5}" name="Math marks" totalsRowFunction="custom">
      <totalsRowFormula>SUM(Score12[Math marks])</totalsRowFormula>
    </tableColumn>
    <tableColumn id="7" xr3:uid="{6318BB93-B2D1-4D3A-8B39-5557B53E702E}" name="Physics marks"/>
    <tableColumn id="8" xr3:uid="{427AB4B6-A78B-435F-ADB0-A1728FE638AA}" name="Chemistry marks"/>
    <tableColumn id="9" xr3:uid="{17865958-833B-45D9-BEE9-C796A4360990}" name="Column9"/>
    <tableColumn id="10" xr3:uid="{2979913B-A1CD-4E39-A1A8-B1C834ED84E5}" name="Column10"/>
    <tableColumn id="11" xr3:uid="{4AB073E4-50B6-40C4-B606-EB17409BB580}" name="Sum" totalsRowFunction="sum" dataDxfId="72" totalsRowDxfId="71">
      <calculatedColumnFormula>Score12[[#This Row],[Math marks]]+Score12[[#This Row],[Physics marks]]+Score12[[#This Row],[Chemistry marks]]</calculatedColumnFormula>
    </tableColumn>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66C1C0B-C90B-4484-BFCD-CBC6A41F4EFE}" name="Table21" displayName="Table21" ref="A35:J47" totalsRowShown="0">
  <autoFilter ref="A35:J47" xr:uid="{666C1C0B-C90B-4484-BFCD-CBC6A41F4EFE}"/>
  <sortState xmlns:xlrd2="http://schemas.microsoft.com/office/spreadsheetml/2017/richdata2" ref="A36:I47">
    <sortCondition sortBy="cellColor" ref="F36:F47" dxfId="70"/>
  </sortState>
  <tableColumns count="10">
    <tableColumn id="1" xr3:uid="{60E51F3F-05F6-4B66-B727-47E7C98C5173}" name="F_Name"/>
    <tableColumn id="2" xr3:uid="{2ED10DE2-6400-46C5-AC9B-CEDC5E3676BA}" name="S_Name"/>
    <tableColumn id="3" xr3:uid="{1ACCE201-A9D8-4F5C-B93E-99FDA3416919}" name="Sex"/>
    <tableColumn id="4" xr3:uid="{89C4AB54-21AA-4F60-889E-3F65E1F73E28}" name="DOB" dataDxfId="69"/>
    <tableColumn id="5" xr3:uid="{18DD23AD-58B3-46A2-8BDA-113CBCEFF063}" name="Maths Marks"/>
    <tableColumn id="6" xr3:uid="{37ABE1FD-38CB-4560-9F69-D4C4C4805C3A}" name="Physics Marks"/>
    <tableColumn id="7" xr3:uid="{533FC87F-3EA7-47F9-8526-6CB86F4A41FC}" name="Chemistry Marks"/>
    <tableColumn id="8" xr3:uid="{72243ECB-84B5-422F-A5A3-9E7DCDF9F2CA}" name="Location"/>
    <tableColumn id="9" xr3:uid="{C1705575-F0F0-4DFA-9518-AF5CF7D64193}" name="Stream"/>
    <tableColumn id="10" xr3:uid="{B0A557A0-5EF7-4C21-9858-AE58B1A034D5}" name="Column1" dataDxfId="68"/>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6CA31F5-3609-4583-B115-5E1FA2BCB4E0}" name="Table15" displayName="Table15" ref="G57:J64" totalsRowShown="0">
  <autoFilter ref="G57:J64" xr:uid="{26CA31F5-3609-4583-B115-5E1FA2BCB4E0}"/>
  <tableColumns count="4">
    <tableColumn id="1" xr3:uid="{FF9E70E5-4D07-46A1-91F6-04F3EBBD1F52}" name="Name"/>
    <tableColumn id="2" xr3:uid="{C7113D75-2BE6-4248-94C0-3DCE7DE8EA13}" name="Maths"/>
    <tableColumn id="3" xr3:uid="{F899C5A9-4F20-460B-9B4A-F546A8549CA1}" name="Physics"/>
    <tableColumn id="4" xr3:uid="{B5EEBE24-0AFA-48BD-81EA-5EDB788ADBBF}" name="Result" dataDxfId="67">
      <calculatedColumnFormula>IF(Table15[[#This Row],[Maths]]&lt;40,"Fail","Pass")</calculatedColumnFormula>
    </tableColumn>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5501997-10B6-4382-A5E3-4529BDB56FD8}" name="Table16" displayName="Table16" ref="B135:E162" totalsRowCount="1" headerRowDxfId="66" dataDxfId="65">
  <autoFilter ref="B135:E161" xr:uid="{718A8A0C-6AD2-4D83-BADC-149723D7AF22}">
    <filterColumn colId="0">
      <filters>
        <filter val="Store"/>
      </filters>
    </filterColumn>
    <filterColumn colId="1">
      <filters>
        <filter val="Pants Black"/>
        <filter val="Pants Blue"/>
      </filters>
    </filterColumn>
  </autoFilter>
  <tableColumns count="4">
    <tableColumn id="1" xr3:uid="{DE27310A-6964-401A-A5C9-66CF6C7AAAD2}" name="Channel" totalsRowLabel="Total" dataDxfId="64" totalsRowDxfId="63"/>
    <tableColumn id="2" xr3:uid="{19AAE9BA-D06C-4B68-81A6-68390DB30B56}" name="Product" totalsRowFunction="count" dataDxfId="62" totalsRowDxfId="61"/>
    <tableColumn id="3" xr3:uid="{5CEC3EBC-EE84-457D-B53F-EEB185D47BF8}" name="Date" dataDxfId="60" totalsRowDxfId="59"/>
    <tableColumn id="4" xr3:uid="{C6D1F18E-2E6B-46E2-801C-FEF026CFD986}" name="Sales Value" totalsRowFunction="sum" dataDxfId="58" totalsRowDxfId="57"/>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C750103-272B-4780-A57F-382EE9B7743C}" name="Table17" displayName="Table17" ref="A84:E95" totalsRowShown="0" dataDxfId="24">
  <tableColumns count="5">
    <tableColumn id="1" xr3:uid="{B3DA143C-DEB2-4BA7-8F98-6D787A53D0E9}" name="division" dataDxfId="29"/>
    <tableColumn id="2" xr3:uid="{82DDC8F0-55BD-4A31-A89D-C991D9CEE1FF}" name="project start date" dataDxfId="28"/>
    <tableColumn id="3" xr3:uid="{F4B6E90E-1CE0-4F48-81A4-7C2B6220A885}" name="project number" dataDxfId="27"/>
    <tableColumn id="4" xr3:uid="{A0D15CD4-9920-4A20-BFF5-E580CF89F32A}" name="company code" dataDxfId="26"/>
    <tableColumn id="5" xr3:uid="{85A1B50B-BDA4-44DE-846F-E4471BB9D88D}" name="project description" dataDxfId="25"/>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FC5F522-F8EF-4EBF-A823-1B622718404C}" name="Table22" displayName="Table22" ref="G118:G121" totalsRowShown="0">
  <tableColumns count="1">
    <tableColumn id="2" xr3:uid="{FD7E9E6A-70DE-49EC-B9EB-4E0361100B00}" name="Column2" dataDxfId="23"/>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FC5F30C-9FA9-4DF0-9AC3-4BDC7DC848AC}" name="Table19" displayName="Table19" ref="B4:M57" totalsRowCount="1" headerRowDxfId="56" dataDxfId="55" totalsRowDxfId="54">
  <autoFilter ref="B4:M56" xr:uid="{2FC5F30C-9FA9-4DF0-9AC3-4BDC7DC848AC}"/>
  <tableColumns count="12">
    <tableColumn id="1" xr3:uid="{E3DB8FE3-EBB5-4A4C-A14D-11D217B33F1D}" name="Names" totalsRowLabel="Total" dataDxfId="53" totalsRowDxfId="52"/>
    <tableColumn id="2" xr3:uid="{AAD51877-F73C-4367-9901-F5EC2622BF02}" name="OS" dataDxfId="51" totalsRowDxfId="50"/>
    <tableColumn id="3" xr3:uid="{74C78466-776A-4105-BF01-06B9923EA404}" name="TAFL" dataDxfId="49" totalsRowDxfId="48"/>
    <tableColumn id="4" xr3:uid="{D059CF61-9A86-4AFF-B99A-BDB91D2811FF}" name="Java" dataDxfId="47" totalsRowDxfId="46"/>
    <tableColumn id="5" xr3:uid="{F8E3FD0E-E11A-4B6D-BC2A-CDA19AE8181B}" name="Cyber" dataDxfId="45" totalsRowDxfId="44"/>
    <tableColumn id="6" xr3:uid="{8DC4D9FF-EEAB-48D5-A451-7D30BAB759D9}" name="TC" dataDxfId="43" totalsRowDxfId="42"/>
    <tableColumn id="7" xr3:uid="{E08F8C4A-9B4D-47C7-A576-1A08808B15F5}" name="Total" dataDxfId="41" totalsRowDxfId="40">
      <calculatedColumnFormula>SUM(Table19[[#This Row],[OS]:[TC]])</calculatedColumnFormula>
    </tableColumn>
    <tableColumn id="8" xr3:uid="{3B38208D-1E53-4D37-AC71-65924A17B19C}" name="%" dataDxfId="39" totalsRowDxfId="38">
      <calculatedColumnFormula>Table19[[#This Row],[Total]]/5</calculatedColumnFormula>
    </tableColumn>
    <tableColumn id="9" xr3:uid="{AC63AD0E-EFB7-490F-A92A-B950B62C5118}" name="Pass/Fail" dataDxfId="37" totalsRowDxfId="36">
      <calculatedColumnFormula>IF(Table19[[#This Row],[%]]&gt;60,"Pass","Fail")</calculatedColumnFormula>
    </tableColumn>
    <tableColumn id="10" xr3:uid="{CFE0A6D6-D2A9-4EF8-B6E4-65D5E7CFD5E8}" name="Grade" totalsRowFunction="count" dataDxfId="35" totalsRowDxfId="34">
      <calculatedColumnFormula>IF(I6&gt;=90,"A",IF(I6&gt;=60,"B",IF(I6&gt;=50,"C",IF(I6&gt;=30,"D","F"))))</calculatedColumnFormula>
    </tableColumn>
    <tableColumn id="14" xr3:uid="{FE406B10-E94A-4E4C-9AE5-E812FD093EC8}" name="Rank" dataDxfId="33" totalsRowDxfId="32"/>
    <tableColumn id="16" xr3:uid="{925BF881-B671-41A6-B488-7274CCA828BB}" name="Performance" dataDxfId="31" totalsRowDxfId="30"/>
  </tableColumns>
  <tableStyleInfo name="TableStyleLight9"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A0EE643-E057-4969-B22E-80726BFFE0C5}" name="Table26" displayName="Table26" ref="A4:O104" totalsRowShown="0" dataDxfId="0" tableBorderDxfId="16">
  <autoFilter ref="A4:O104" xr:uid="{8A0EE643-E057-4969-B22E-80726BFFE0C5}"/>
  <tableColumns count="15">
    <tableColumn id="1" xr3:uid="{04CD7745-7E20-46CC-BB60-C9E5C14FD78F}" name="Order ID" dataDxfId="15"/>
    <tableColumn id="2" xr3:uid="{07F3369C-DDDF-422C-A5B0-4009FF2016F7}" name="Date" dataDxfId="14"/>
    <tableColumn id="3" xr3:uid="{970C54A4-5785-48A5-A3A1-B1172BA04665}" name="Sales Rep" dataDxfId="13"/>
    <tableColumn id="4" xr3:uid="{E316AE89-2CB7-4A32-90E7-81A80635860F}" name="Region" dataDxfId="12"/>
    <tableColumn id="5" xr3:uid="{B0BF03B9-B86D-4240-9027-7AB9E2649DC4}" name="Sales Amount" dataDxfId="11"/>
    <tableColumn id="6" xr3:uid="{EE35C9B6-D8B2-4342-A453-3DF8AD31D8A5}" name="Quantity" dataDxfId="10"/>
    <tableColumn id="7" xr3:uid="{0B90A3A5-C980-49EA-B118-84576470BE90}" name="Category" dataDxfId="9"/>
    <tableColumn id="8" xr3:uid="{5CA2CB70-B88C-4848-9465-F05AC6C6C76A}" name="Unit_Price" dataDxfId="8"/>
    <tableColumn id="9" xr3:uid="{D97D90F0-4CBE-4817-810A-FC49DD16ECCA}" name="Discount" dataDxfId="7" dataCellStyle="Percent"/>
    <tableColumn id="10" xr3:uid="{E3C6E4D8-2A93-4D82-B3A0-A78FF253687C}" name="Payment Method" dataDxfId="6"/>
    <tableColumn id="11" xr3:uid="{4802D60A-C22D-401F-A52A-F57D07C7F3D1}" name="Month" dataDxfId="5">
      <calculatedColumnFormula>TEXT(B5,"mmm")</calculatedColumnFormula>
    </tableColumn>
    <tableColumn id="12" xr3:uid="{45AF9466-F45E-4848-A781-5665711B4C9C}" name="Year" dataDxfId="4">
      <calculatedColumnFormula>YEAR(B5)</calculatedColumnFormula>
    </tableColumn>
    <tableColumn id="13" xr3:uid="{1031DDDC-6C59-4CDE-B70F-B75E765684C2}" name="Profit Margin" dataDxfId="3"/>
    <tableColumn id="14" xr3:uid="{998F0B24-5BCD-40A3-8C68-8A9AAB2F8845}" name="Profit" dataDxfId="2" dataCellStyle="Currency">
      <calculatedColumnFormula>E5*25%</calculatedColumnFormula>
    </tableColumn>
    <tableColumn id="15" xr3:uid="{C5D01B41-830A-4D14-8FAE-F046F3F6D541}" name="Sales Channel" dataDxfId="1"/>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5F7FA">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7" Type="http://schemas.openxmlformats.org/officeDocument/2006/relationships/table" Target="../tables/table18.xml"/><Relationship Id="rId2" Type="http://schemas.openxmlformats.org/officeDocument/2006/relationships/printerSettings" Target="../printerSettings/printerSettings21.bin"/><Relationship Id="rId1" Type="http://schemas.openxmlformats.org/officeDocument/2006/relationships/pivotTable" Target="../pivotTables/pivotTable14.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drawing" Target="../drawings/drawing24.xml"/><Relationship Id="rId4" Type="http://schemas.openxmlformats.org/officeDocument/2006/relationships/pivotTable" Target="../pivotTables/pivotTable18.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19.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7.xml"/><Relationship Id="rId5" Type="http://schemas.openxmlformats.org/officeDocument/2006/relationships/printerSettings" Target="../printerSettings/printerSettings26.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1796875" defaultRowHeight="15" customHeight="1" x14ac:dyDescent="0.35"/>
  <cols>
    <col min="1" max="1" width="115.81640625" style="17" customWidth="1"/>
    <col min="2" max="2" width="3.54296875" style="17" customWidth="1"/>
    <col min="3" max="16384" width="11.1796875" style="17"/>
  </cols>
  <sheetData>
    <row r="1" spans="1:1" ht="15" customHeight="1" x14ac:dyDescent="0.35">
      <c r="A1" s="27" t="s">
        <v>93</v>
      </c>
    </row>
    <row r="2" spans="1:1" ht="59.5" x14ac:dyDescent="1.45">
      <c r="A2" s="38" t="s">
        <v>91</v>
      </c>
    </row>
    <row r="3" spans="1:1" ht="45" x14ac:dyDescent="0.55000000000000004">
      <c r="A3" s="39" t="s">
        <v>92</v>
      </c>
    </row>
    <row r="4" spans="1:1" ht="200.25" customHeight="1" x14ac:dyDescent="0.35">
      <c r="A4" s="19" t="s">
        <v>0</v>
      </c>
    </row>
    <row r="5" spans="1:1" ht="15" customHeight="1" x14ac:dyDescent="0.55000000000000004">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I17"/>
  <sheetViews>
    <sheetView showGridLines="0" showRowColHeaders="0" topLeftCell="A4" zoomScaleNormal="100" workbookViewId="0"/>
  </sheetViews>
  <sheetFormatPr defaultColWidth="9.1796875" defaultRowHeight="14.5" x14ac:dyDescent="0.35"/>
  <cols>
    <col min="1" max="1" width="9.1796875" style="2"/>
    <col min="2" max="4" width="9.1796875" style="1"/>
    <col min="5" max="5" width="10.1796875" style="1" customWidth="1"/>
    <col min="6" max="7" width="9.1796875" style="1"/>
    <col min="8" max="8" width="10.1796875" style="1" bestFit="1" customWidth="1"/>
    <col min="9" max="9" width="13.6328125" style="1" bestFit="1" customWidth="1"/>
    <col min="10" max="16384" width="9.1796875" style="1"/>
  </cols>
  <sheetData>
    <row r="1" spans="1:9" x14ac:dyDescent="0.35">
      <c r="A1" s="2" t="s">
        <v>62</v>
      </c>
    </row>
    <row r="2" spans="1:9" x14ac:dyDescent="0.35">
      <c r="A2" s="2" t="s">
        <v>1</v>
      </c>
    </row>
    <row r="3" spans="1:9" x14ac:dyDescent="0.35">
      <c r="A3" s="2" t="s">
        <v>64</v>
      </c>
    </row>
    <row r="4" spans="1:9" x14ac:dyDescent="0.35">
      <c r="A4" s="2" t="s">
        <v>2</v>
      </c>
    </row>
    <row r="5" spans="1:9" x14ac:dyDescent="0.35">
      <c r="A5" s="40"/>
    </row>
    <row r="10" spans="1:9" x14ac:dyDescent="0.35">
      <c r="B10" s="7" t="s">
        <v>3</v>
      </c>
      <c r="C10" s="7" t="s">
        <v>4</v>
      </c>
      <c r="D10" s="7" t="s">
        <v>5</v>
      </c>
      <c r="E10" s="7" t="s">
        <v>6</v>
      </c>
      <c r="H10" s="8" t="s">
        <v>4</v>
      </c>
      <c r="I10" t="s">
        <v>7</v>
      </c>
    </row>
    <row r="11" spans="1:9" x14ac:dyDescent="0.35">
      <c r="B11" s="25">
        <v>42736</v>
      </c>
      <c r="C11" s="3" t="s">
        <v>8</v>
      </c>
      <c r="D11" s="3" t="s">
        <v>9</v>
      </c>
      <c r="E11" s="22">
        <v>74</v>
      </c>
      <c r="H11" t="s">
        <v>10</v>
      </c>
      <c r="I11" s="24">
        <v>20</v>
      </c>
    </row>
    <row r="12" spans="1:9" x14ac:dyDescent="0.35">
      <c r="B12" s="26">
        <v>42750</v>
      </c>
      <c r="C12" s="4" t="s">
        <v>8</v>
      </c>
      <c r="D12" s="4" t="s">
        <v>11</v>
      </c>
      <c r="E12" s="23">
        <v>235</v>
      </c>
      <c r="H12" t="s">
        <v>8</v>
      </c>
      <c r="I12" s="24">
        <v>544</v>
      </c>
    </row>
    <row r="13" spans="1:9" x14ac:dyDescent="0.35">
      <c r="B13" s="25">
        <v>42752</v>
      </c>
      <c r="C13" s="3" t="s">
        <v>10</v>
      </c>
      <c r="D13" s="3" t="s">
        <v>12</v>
      </c>
      <c r="E13" s="22">
        <v>20</v>
      </c>
      <c r="H13" t="s">
        <v>13</v>
      </c>
      <c r="I13" s="24">
        <v>270</v>
      </c>
    </row>
    <row r="14" spans="1:9" x14ac:dyDescent="0.35">
      <c r="B14" s="26">
        <v>42756</v>
      </c>
      <c r="C14" s="4" t="s">
        <v>13</v>
      </c>
      <c r="D14" s="4" t="s">
        <v>14</v>
      </c>
      <c r="E14" s="23">
        <v>125</v>
      </c>
      <c r="H14" t="s">
        <v>15</v>
      </c>
      <c r="I14" s="24">
        <v>834</v>
      </c>
    </row>
    <row r="15" spans="1:9" x14ac:dyDescent="0.35">
      <c r="B15" s="25">
        <v>42768</v>
      </c>
      <c r="C15" s="3" t="s">
        <v>8</v>
      </c>
      <c r="D15" s="3" t="s">
        <v>11</v>
      </c>
      <c r="E15" s="22">
        <v>235</v>
      </c>
    </row>
    <row r="16" spans="1:9"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53" fitToHeight="0" orientation="landscape" horizontalDpi="1200" verticalDpi="1200" r:id="rId2"/>
  <headerFooter differentFirst="1"/>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18"/>
  <sheetViews>
    <sheetView showGridLines="0" showRowColHeaders="0" workbookViewId="0"/>
  </sheetViews>
  <sheetFormatPr defaultColWidth="9.1796875" defaultRowHeight="14.5" x14ac:dyDescent="0.35"/>
  <cols>
    <col min="1" max="1" width="9.1796875" style="2"/>
    <col min="5" max="5" width="10.1796875" customWidth="1"/>
    <col min="7" max="7" width="13.6328125" bestFit="1" customWidth="1"/>
    <col min="8" max="10" width="7.6328125" bestFit="1" customWidth="1"/>
    <col min="11" max="11" width="10.1796875" bestFit="1" customWidth="1"/>
    <col min="12" max="12" width="11.1796875" bestFit="1" customWidth="1"/>
  </cols>
  <sheetData>
    <row r="1" spans="1:11" x14ac:dyDescent="0.35">
      <c r="A1" s="2" t="s">
        <v>63</v>
      </c>
    </row>
    <row r="2" spans="1:11" x14ac:dyDescent="0.35">
      <c r="A2" s="2" t="s">
        <v>1</v>
      </c>
    </row>
    <row r="3" spans="1:11" x14ac:dyDescent="0.35">
      <c r="A3" s="2" t="s">
        <v>77</v>
      </c>
    </row>
    <row r="4" spans="1:11" x14ac:dyDescent="0.35">
      <c r="A4" s="2" t="s">
        <v>2</v>
      </c>
    </row>
    <row r="10" spans="1:11" x14ac:dyDescent="0.35">
      <c r="B10" s="7" t="s">
        <v>3</v>
      </c>
      <c r="C10" s="7" t="s">
        <v>4</v>
      </c>
      <c r="D10" s="7" t="s">
        <v>5</v>
      </c>
      <c r="E10" s="7" t="s">
        <v>6</v>
      </c>
      <c r="G10" s="8" t="s">
        <v>7</v>
      </c>
      <c r="H10" s="8" t="s">
        <v>4</v>
      </c>
    </row>
    <row r="11" spans="1:11" x14ac:dyDescent="0.35">
      <c r="B11" s="25">
        <v>42736</v>
      </c>
      <c r="C11" s="3" t="s">
        <v>8</v>
      </c>
      <c r="D11" s="3" t="s">
        <v>9</v>
      </c>
      <c r="E11" s="22">
        <v>74</v>
      </c>
      <c r="G11" s="8" t="s">
        <v>5</v>
      </c>
      <c r="H11" t="s">
        <v>10</v>
      </c>
      <c r="I11" t="s">
        <v>13</v>
      </c>
      <c r="J11" t="s">
        <v>8</v>
      </c>
      <c r="K11" t="s">
        <v>15</v>
      </c>
    </row>
    <row r="12" spans="1:11" x14ac:dyDescent="0.35">
      <c r="B12" s="26">
        <v>42750</v>
      </c>
      <c r="C12" s="4" t="s">
        <v>8</v>
      </c>
      <c r="D12" s="4" t="s">
        <v>11</v>
      </c>
      <c r="E12" s="23">
        <v>235</v>
      </c>
      <c r="G12" t="s">
        <v>14</v>
      </c>
      <c r="H12" s="24"/>
      <c r="I12" s="24">
        <v>125</v>
      </c>
      <c r="J12" s="24"/>
      <c r="K12" s="24">
        <v>125</v>
      </c>
    </row>
    <row r="13" spans="1:11" x14ac:dyDescent="0.35">
      <c r="B13" s="25">
        <v>42752</v>
      </c>
      <c r="C13" s="3" t="s">
        <v>10</v>
      </c>
      <c r="D13" s="3" t="s">
        <v>12</v>
      </c>
      <c r="E13" s="22">
        <v>20</v>
      </c>
      <c r="G13" t="s">
        <v>11</v>
      </c>
      <c r="H13" s="24"/>
      <c r="I13" s="24"/>
      <c r="J13" s="24">
        <v>470</v>
      </c>
      <c r="K13" s="24">
        <v>470</v>
      </c>
    </row>
    <row r="14" spans="1:11" x14ac:dyDescent="0.35">
      <c r="B14" s="26">
        <v>42756</v>
      </c>
      <c r="C14" s="4" t="s">
        <v>13</v>
      </c>
      <c r="D14" s="4" t="s">
        <v>14</v>
      </c>
      <c r="E14" s="23">
        <v>125</v>
      </c>
      <c r="G14" t="s">
        <v>9</v>
      </c>
      <c r="H14" s="24"/>
      <c r="I14" s="24"/>
      <c r="J14" s="24">
        <v>74</v>
      </c>
      <c r="K14" s="24">
        <v>74</v>
      </c>
    </row>
    <row r="15" spans="1:11" x14ac:dyDescent="0.35">
      <c r="B15" s="25">
        <v>42768</v>
      </c>
      <c r="C15" s="3" t="s">
        <v>8</v>
      </c>
      <c r="D15" s="3" t="s">
        <v>11</v>
      </c>
      <c r="E15" s="22">
        <v>235</v>
      </c>
      <c r="G15" t="s">
        <v>16</v>
      </c>
      <c r="H15" s="24"/>
      <c r="I15" s="24">
        <v>20</v>
      </c>
      <c r="J15" s="24"/>
      <c r="K15" s="24">
        <v>20</v>
      </c>
    </row>
    <row r="16" spans="1:11" x14ac:dyDescent="0.35">
      <c r="B16" s="26">
        <v>42786</v>
      </c>
      <c r="C16" s="4" t="s">
        <v>13</v>
      </c>
      <c r="D16" s="4" t="s">
        <v>16</v>
      </c>
      <c r="E16" s="23">
        <v>20</v>
      </c>
      <c r="G16" t="s">
        <v>12</v>
      </c>
      <c r="H16" s="24">
        <v>20</v>
      </c>
      <c r="I16" s="24"/>
      <c r="J16" s="24"/>
      <c r="K16" s="24">
        <v>20</v>
      </c>
    </row>
    <row r="17" spans="2:11" x14ac:dyDescent="0.35">
      <c r="B17" s="25">
        <v>42791</v>
      </c>
      <c r="C17" s="3" t="s">
        <v>13</v>
      </c>
      <c r="D17" s="3" t="s">
        <v>17</v>
      </c>
      <c r="E17" s="22">
        <v>125</v>
      </c>
      <c r="G17" t="s">
        <v>17</v>
      </c>
      <c r="H17" s="24"/>
      <c r="I17" s="24">
        <v>125</v>
      </c>
      <c r="J17" s="24"/>
      <c r="K17" s="24">
        <v>125</v>
      </c>
    </row>
    <row r="18" spans="2:11" x14ac:dyDescent="0.35">
      <c r="G18" t="s">
        <v>15</v>
      </c>
      <c r="H18" s="24">
        <v>20</v>
      </c>
      <c r="I18" s="24">
        <v>270</v>
      </c>
      <c r="J18" s="24">
        <v>544</v>
      </c>
      <c r="K18" s="24">
        <v>834</v>
      </c>
    </row>
  </sheetData>
  <printOptions horizontalCentered="1"/>
  <pageMargins left="0.7" right="0.7" top="0.75" bottom="0.75" header="0.3" footer="0.3"/>
  <pageSetup scale="28" fitToHeight="0" orientation="portrait" horizontalDpi="1200" verticalDpi="1200" r:id="rId2"/>
  <headerFooter differentFirst="1"/>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defaultColWidth="9.1796875" defaultRowHeight="14.5" x14ac:dyDescent="0.35"/>
  <cols>
    <col min="1" max="1" width="9.1796875" style="2"/>
    <col min="5" max="5" width="10.1796875" customWidth="1"/>
    <col min="7" max="7" width="13.6328125" bestFit="1" customWidth="1"/>
    <col min="8" max="8" width="14.7265625" bestFit="1" customWidth="1"/>
    <col min="9" max="10" width="5.36328125" bestFit="1" customWidth="1"/>
    <col min="11" max="11" width="10.1796875" bestFit="1" customWidth="1"/>
    <col min="12" max="12" width="6.54296875" bestFit="1" customWidth="1"/>
    <col min="13" max="13" width="7.1796875" bestFit="1" customWidth="1"/>
  </cols>
  <sheetData>
    <row r="1" spans="1:11" x14ac:dyDescent="0.35">
      <c r="A1" s="2" t="s">
        <v>78</v>
      </c>
    </row>
    <row r="2" spans="1:11" x14ac:dyDescent="0.35">
      <c r="A2" s="2" t="s">
        <v>1</v>
      </c>
    </row>
    <row r="3" spans="1:11" x14ac:dyDescent="0.35">
      <c r="A3" s="2" t="s">
        <v>18</v>
      </c>
    </row>
    <row r="4" spans="1:11" x14ac:dyDescent="0.35">
      <c r="A4" s="2" t="s">
        <v>2</v>
      </c>
    </row>
    <row r="10" spans="1:11" x14ac:dyDescent="0.35">
      <c r="B10" t="s">
        <v>3</v>
      </c>
      <c r="C10" s="7" t="s">
        <v>4</v>
      </c>
      <c r="D10" s="7" t="s">
        <v>5</v>
      </c>
      <c r="E10" s="7" t="s">
        <v>6</v>
      </c>
      <c r="G10" s="8" t="s">
        <v>7</v>
      </c>
      <c r="H10" s="8" t="s">
        <v>19</v>
      </c>
    </row>
    <row r="11" spans="1:11" x14ac:dyDescent="0.35">
      <c r="B11" s="25">
        <v>42736</v>
      </c>
      <c r="C11" s="3" t="s">
        <v>8</v>
      </c>
      <c r="D11" s="3" t="s">
        <v>9</v>
      </c>
      <c r="E11" s="22">
        <v>74</v>
      </c>
      <c r="G11" s="8" t="s">
        <v>20</v>
      </c>
      <c r="H11" t="s">
        <v>10</v>
      </c>
      <c r="I11" t="s">
        <v>13</v>
      </c>
      <c r="J11" t="s">
        <v>8</v>
      </c>
      <c r="K11" t="s">
        <v>15</v>
      </c>
    </row>
    <row r="12" spans="1:11" x14ac:dyDescent="0.35">
      <c r="B12" s="26">
        <v>42750</v>
      </c>
      <c r="C12" s="4" t="s">
        <v>8</v>
      </c>
      <c r="D12" s="4" t="s">
        <v>11</v>
      </c>
      <c r="E12" s="23">
        <v>235</v>
      </c>
      <c r="G12" s="12" t="s">
        <v>14</v>
      </c>
      <c r="H12" s="24"/>
      <c r="I12" s="24">
        <v>125</v>
      </c>
      <c r="J12" s="24"/>
      <c r="K12" s="24">
        <v>125</v>
      </c>
    </row>
    <row r="13" spans="1:11" x14ac:dyDescent="0.35">
      <c r="B13" s="25">
        <v>42752</v>
      </c>
      <c r="C13" s="3" t="s">
        <v>10</v>
      </c>
      <c r="D13" s="3" t="s">
        <v>12</v>
      </c>
      <c r="E13" s="22">
        <v>20</v>
      </c>
      <c r="G13" s="12" t="s">
        <v>11</v>
      </c>
      <c r="H13" s="24"/>
      <c r="I13" s="24"/>
      <c r="J13" s="24">
        <v>470</v>
      </c>
      <c r="K13" s="24">
        <v>470</v>
      </c>
    </row>
    <row r="14" spans="1:11" x14ac:dyDescent="0.35">
      <c r="B14" s="26">
        <v>42756</v>
      </c>
      <c r="C14" s="4" t="s">
        <v>13</v>
      </c>
      <c r="D14" s="4" t="s">
        <v>14</v>
      </c>
      <c r="E14" s="23">
        <v>125</v>
      </c>
      <c r="G14" s="12" t="s">
        <v>9</v>
      </c>
      <c r="H14" s="24"/>
      <c r="I14" s="24"/>
      <c r="J14" s="24">
        <v>74</v>
      </c>
      <c r="K14" s="24">
        <v>74</v>
      </c>
    </row>
    <row r="15" spans="1:11" x14ac:dyDescent="0.35">
      <c r="B15" s="25">
        <v>42768</v>
      </c>
      <c r="C15" s="3" t="s">
        <v>8</v>
      </c>
      <c r="D15" s="3" t="s">
        <v>11</v>
      </c>
      <c r="E15" s="22">
        <v>235</v>
      </c>
      <c r="G15" s="12" t="s">
        <v>16</v>
      </c>
      <c r="H15" s="24"/>
      <c r="I15" s="24">
        <v>20</v>
      </c>
      <c r="J15" s="24"/>
      <c r="K15" s="24">
        <v>20</v>
      </c>
    </row>
    <row r="16" spans="1:11" x14ac:dyDescent="0.35">
      <c r="B16" s="26">
        <v>42786</v>
      </c>
      <c r="C16" s="4" t="s">
        <v>13</v>
      </c>
      <c r="D16" s="4" t="s">
        <v>16</v>
      </c>
      <c r="E16" s="23">
        <v>20</v>
      </c>
      <c r="G16" s="12" t="s">
        <v>12</v>
      </c>
      <c r="H16" s="24">
        <v>20</v>
      </c>
      <c r="I16" s="24"/>
      <c r="J16" s="24"/>
      <c r="K16" s="24">
        <v>20</v>
      </c>
    </row>
    <row r="17" spans="2:11" x14ac:dyDescent="0.35">
      <c r="B17" s="25">
        <v>42791</v>
      </c>
      <c r="C17" s="3" t="s">
        <v>13</v>
      </c>
      <c r="D17" s="3" t="s">
        <v>17</v>
      </c>
      <c r="E17" s="22">
        <v>125</v>
      </c>
      <c r="G17" s="12" t="s">
        <v>17</v>
      </c>
      <c r="H17" s="24"/>
      <c r="I17" s="24">
        <v>125</v>
      </c>
      <c r="J17" s="24"/>
      <c r="K17" s="24">
        <v>125</v>
      </c>
    </row>
    <row r="18" spans="2:11" x14ac:dyDescent="0.35">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heetViews>
  <sheetFormatPr defaultColWidth="9.1796875" defaultRowHeight="14.5" x14ac:dyDescent="0.35"/>
  <cols>
    <col min="1" max="1" width="9.1796875" style="2"/>
    <col min="5" max="5" width="10.1796875" customWidth="1"/>
    <col min="8" max="8" width="11.1796875" bestFit="1" customWidth="1"/>
    <col min="9" max="9" width="14.81640625" bestFit="1" customWidth="1"/>
  </cols>
  <sheetData>
    <row r="1" spans="1:5" x14ac:dyDescent="0.35">
      <c r="A1" s="2" t="s">
        <v>21</v>
      </c>
    </row>
    <row r="2" spans="1:5" x14ac:dyDescent="0.35">
      <c r="A2" s="2" t="s">
        <v>22</v>
      </c>
    </row>
    <row r="3" spans="1:5" x14ac:dyDescent="0.35">
      <c r="A3" s="2" t="s">
        <v>79</v>
      </c>
    </row>
    <row r="4" spans="1:5" x14ac:dyDescent="0.35">
      <c r="A4" s="2" t="s">
        <v>2</v>
      </c>
    </row>
    <row r="10" spans="1:5" x14ac:dyDescent="0.35">
      <c r="B10" s="7" t="s">
        <v>3</v>
      </c>
      <c r="C10" s="7" t="s">
        <v>4</v>
      </c>
      <c r="D10" s="7" t="s">
        <v>5</v>
      </c>
      <c r="E10" t="s">
        <v>6</v>
      </c>
    </row>
    <row r="11" spans="1:5" x14ac:dyDescent="0.35">
      <c r="B11" s="25">
        <v>42736</v>
      </c>
      <c r="C11" s="3" t="s">
        <v>8</v>
      </c>
      <c r="D11" s="3" t="s">
        <v>9</v>
      </c>
      <c r="E11" s="22">
        <v>74</v>
      </c>
    </row>
    <row r="12" spans="1:5" x14ac:dyDescent="0.35">
      <c r="B12" s="26">
        <v>42750</v>
      </c>
      <c r="C12" s="4" t="s">
        <v>8</v>
      </c>
      <c r="D12" s="4" t="s">
        <v>11</v>
      </c>
      <c r="E12" s="23">
        <v>235</v>
      </c>
    </row>
    <row r="13" spans="1:5" x14ac:dyDescent="0.35">
      <c r="B13" s="25">
        <v>42752</v>
      </c>
      <c r="C13" s="3" t="s">
        <v>10</v>
      </c>
      <c r="D13" s="3" t="s">
        <v>12</v>
      </c>
      <c r="E13" s="22">
        <v>20</v>
      </c>
    </row>
    <row r="14" spans="1:5" x14ac:dyDescent="0.35">
      <c r="B14" s="26">
        <v>42756</v>
      </c>
      <c r="C14" s="4" t="s">
        <v>13</v>
      </c>
      <c r="D14" s="4" t="s">
        <v>14</v>
      </c>
      <c r="E14" s="23">
        <v>125</v>
      </c>
    </row>
    <row r="15" spans="1:5" x14ac:dyDescent="0.35">
      <c r="B15" s="25">
        <v>42768</v>
      </c>
      <c r="C15" s="3" t="s">
        <v>8</v>
      </c>
      <c r="D15" s="3" t="s">
        <v>11</v>
      </c>
      <c r="E15" s="22">
        <v>235</v>
      </c>
    </row>
    <row r="16" spans="1:5"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heetViews>
  <sheetFormatPr defaultColWidth="9.1796875" defaultRowHeight="14.5" x14ac:dyDescent="0.35"/>
  <cols>
    <col min="1" max="1" width="9.1796875" style="2"/>
    <col min="5" max="5" width="10.1796875" customWidth="1"/>
    <col min="8" max="8" width="11.1796875" bestFit="1" customWidth="1"/>
    <col min="9" max="9" width="14.81640625" bestFit="1" customWidth="1"/>
  </cols>
  <sheetData>
    <row r="1" spans="1:5" x14ac:dyDescent="0.35">
      <c r="A1" s="2" t="s">
        <v>23</v>
      </c>
    </row>
    <row r="2" spans="1:5" x14ac:dyDescent="0.35">
      <c r="A2" s="2" t="s">
        <v>24</v>
      </c>
    </row>
    <row r="3" spans="1:5" x14ac:dyDescent="0.35">
      <c r="A3" s="2" t="s">
        <v>25</v>
      </c>
    </row>
    <row r="4" spans="1:5" x14ac:dyDescent="0.35">
      <c r="A4" s="2" t="s">
        <v>2</v>
      </c>
    </row>
    <row r="10" spans="1:5" x14ac:dyDescent="0.35">
      <c r="B10" s="7" t="s">
        <v>3</v>
      </c>
      <c r="C10" s="7" t="s">
        <v>4</v>
      </c>
      <c r="D10" s="7" t="s">
        <v>5</v>
      </c>
      <c r="E10" s="7" t="s">
        <v>6</v>
      </c>
    </row>
    <row r="11" spans="1:5" x14ac:dyDescent="0.35">
      <c r="B11" s="25">
        <v>42736</v>
      </c>
      <c r="C11" s="3" t="s">
        <v>8</v>
      </c>
      <c r="D11" s="3" t="s">
        <v>9</v>
      </c>
      <c r="E11" s="22">
        <v>74</v>
      </c>
    </row>
    <row r="12" spans="1:5" x14ac:dyDescent="0.35">
      <c r="B12" s="26">
        <v>42750</v>
      </c>
      <c r="C12" s="4" t="s">
        <v>8</v>
      </c>
      <c r="D12" s="4" t="s">
        <v>11</v>
      </c>
      <c r="E12" s="23">
        <v>235</v>
      </c>
    </row>
    <row r="13" spans="1:5" x14ac:dyDescent="0.35">
      <c r="B13" s="25">
        <v>42752</v>
      </c>
      <c r="C13" s="3" t="s">
        <v>10</v>
      </c>
      <c r="D13" s="3" t="s">
        <v>12</v>
      </c>
      <c r="E13" s="22">
        <v>20</v>
      </c>
    </row>
    <row r="14" spans="1:5" x14ac:dyDescent="0.35">
      <c r="B14" s="26">
        <v>42756</v>
      </c>
      <c r="C14" s="4" t="s">
        <v>13</v>
      </c>
      <c r="D14" s="4" t="s">
        <v>14</v>
      </c>
      <c r="E14" s="23">
        <v>125</v>
      </c>
    </row>
    <row r="15" spans="1:5" x14ac:dyDescent="0.35">
      <c r="B15" s="25">
        <v>42768</v>
      </c>
      <c r="C15" s="3" t="s">
        <v>8</v>
      </c>
      <c r="D15" s="3" t="s">
        <v>11</v>
      </c>
      <c r="E15" s="22">
        <v>235</v>
      </c>
    </row>
    <row r="16" spans="1:5"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1796875" defaultRowHeight="14.5" x14ac:dyDescent="0.35"/>
  <cols>
    <col min="1" max="1" width="9.1796875" style="2"/>
    <col min="5" max="5" width="10.1796875" customWidth="1"/>
    <col min="8" max="8" width="11.1796875" bestFit="1" customWidth="1"/>
    <col min="9" max="9" width="14.81640625" bestFit="1" customWidth="1"/>
  </cols>
  <sheetData>
    <row r="1" spans="1:5" x14ac:dyDescent="0.35">
      <c r="A1" s="2" t="s">
        <v>26</v>
      </c>
    </row>
    <row r="2" spans="1:5" x14ac:dyDescent="0.35">
      <c r="A2" s="2" t="s">
        <v>27</v>
      </c>
    </row>
    <row r="3" spans="1:5" x14ac:dyDescent="0.35">
      <c r="A3" s="2" t="s">
        <v>2</v>
      </c>
    </row>
    <row r="5" spans="1:5" x14ac:dyDescent="0.35">
      <c r="A5"/>
    </row>
    <row r="10" spans="1:5" x14ac:dyDescent="0.35">
      <c r="B10" t="s">
        <v>3</v>
      </c>
      <c r="C10" s="7" t="s">
        <v>4</v>
      </c>
      <c r="D10" s="7" t="s">
        <v>5</v>
      </c>
      <c r="E10" t="s">
        <v>6</v>
      </c>
    </row>
    <row r="11" spans="1:5" x14ac:dyDescent="0.35">
      <c r="B11" s="25">
        <v>42736</v>
      </c>
      <c r="C11" s="3" t="s">
        <v>8</v>
      </c>
      <c r="D11" s="3" t="s">
        <v>9</v>
      </c>
      <c r="E11" s="22">
        <v>74</v>
      </c>
    </row>
    <row r="12" spans="1:5" x14ac:dyDescent="0.35">
      <c r="B12" s="26">
        <v>42750</v>
      </c>
      <c r="C12" s="4" t="s">
        <v>8</v>
      </c>
      <c r="D12" s="4" t="s">
        <v>11</v>
      </c>
      <c r="E12" s="23">
        <v>235</v>
      </c>
    </row>
    <row r="13" spans="1:5" x14ac:dyDescent="0.35">
      <c r="B13" s="25">
        <v>42752</v>
      </c>
      <c r="C13" s="3" t="s">
        <v>10</v>
      </c>
      <c r="D13" s="3" t="s">
        <v>12</v>
      </c>
      <c r="E13" s="22">
        <v>20</v>
      </c>
    </row>
    <row r="14" spans="1:5" x14ac:dyDescent="0.35">
      <c r="B14" s="26">
        <v>42756</v>
      </c>
      <c r="C14" s="4" t="s">
        <v>13</v>
      </c>
      <c r="D14" s="4" t="s">
        <v>14</v>
      </c>
      <c r="E14" s="23">
        <v>125</v>
      </c>
    </row>
    <row r="15" spans="1:5" x14ac:dyDescent="0.35">
      <c r="B15" s="25">
        <v>42768</v>
      </c>
      <c r="C15" s="3" t="s">
        <v>8</v>
      </c>
      <c r="D15" s="3" t="s">
        <v>11</v>
      </c>
      <c r="E15" s="22">
        <v>235</v>
      </c>
    </row>
    <row r="16" spans="1:5"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zoomScaleNormal="100" workbookViewId="0"/>
  </sheetViews>
  <sheetFormatPr defaultColWidth="8.81640625" defaultRowHeight="14.5" x14ac:dyDescent="0.35"/>
  <cols>
    <col min="1" max="1" width="9.1796875" style="2" customWidth="1"/>
    <col min="2" max="4" width="9.1796875" style="1" customWidth="1"/>
    <col min="5" max="5" width="10.1796875" style="1" customWidth="1"/>
    <col min="6" max="6" width="8.81640625" style="1"/>
    <col min="7" max="7" width="14.81640625" style="1" bestFit="1" customWidth="1"/>
    <col min="8" max="8" width="13.6328125" style="1" bestFit="1" customWidth="1"/>
    <col min="9" max="9" width="14.81640625" style="1" bestFit="1" customWidth="1"/>
    <col min="10" max="16384" width="8.81640625" style="1"/>
  </cols>
  <sheetData>
    <row r="1" spans="1:8" x14ac:dyDescent="0.35">
      <c r="A1" s="2" t="s">
        <v>28</v>
      </c>
    </row>
    <row r="2" spans="1:8" x14ac:dyDescent="0.35">
      <c r="A2" s="2" t="s">
        <v>1</v>
      </c>
    </row>
    <row r="3" spans="1:8" x14ac:dyDescent="0.35">
      <c r="A3" s="2" t="s">
        <v>65</v>
      </c>
    </row>
    <row r="4" spans="1:8" x14ac:dyDescent="0.35">
      <c r="A4" s="2" t="s">
        <v>2</v>
      </c>
    </row>
    <row r="10" spans="1:8" x14ac:dyDescent="0.35">
      <c r="B10" s="7" t="s">
        <v>3</v>
      </c>
      <c r="C10" s="7" t="s">
        <v>4</v>
      </c>
      <c r="D10" s="7" t="s">
        <v>5</v>
      </c>
      <c r="E10" s="7" t="s">
        <v>6</v>
      </c>
      <c r="H10" t="s">
        <v>7</v>
      </c>
    </row>
    <row r="11" spans="1:8" x14ac:dyDescent="0.35">
      <c r="B11" s="5">
        <v>42736</v>
      </c>
      <c r="C11" s="3" t="s">
        <v>8</v>
      </c>
      <c r="D11" s="3" t="s">
        <v>9</v>
      </c>
      <c r="E11" s="10">
        <v>74</v>
      </c>
      <c r="H11" s="24">
        <v>834</v>
      </c>
    </row>
    <row r="12" spans="1:8" x14ac:dyDescent="0.35">
      <c r="B12" s="6">
        <v>42750</v>
      </c>
      <c r="C12" s="4" t="s">
        <v>8</v>
      </c>
      <c r="D12" s="4" t="s">
        <v>11</v>
      </c>
      <c r="E12" s="11">
        <v>235</v>
      </c>
    </row>
    <row r="13" spans="1:8" x14ac:dyDescent="0.35">
      <c r="B13" s="5">
        <v>42752</v>
      </c>
      <c r="C13" s="3" t="s">
        <v>10</v>
      </c>
      <c r="D13" s="3" t="s">
        <v>12</v>
      </c>
      <c r="E13" s="10">
        <v>20</v>
      </c>
    </row>
    <row r="14" spans="1:8" x14ac:dyDescent="0.35">
      <c r="B14" s="6">
        <v>42756</v>
      </c>
      <c r="C14" s="4" t="s">
        <v>13</v>
      </c>
      <c r="D14" s="4" t="s">
        <v>14</v>
      </c>
      <c r="E14" s="11">
        <v>125</v>
      </c>
    </row>
    <row r="15" spans="1:8" x14ac:dyDescent="0.35">
      <c r="B15" s="5">
        <v>42768</v>
      </c>
      <c r="C15" s="3" t="s">
        <v>8</v>
      </c>
      <c r="D15" s="3" t="s">
        <v>11</v>
      </c>
      <c r="E15" s="10">
        <v>235</v>
      </c>
    </row>
    <row r="16" spans="1:8" x14ac:dyDescent="0.35">
      <c r="B16" s="6">
        <v>42786</v>
      </c>
      <c r="C16" s="4" t="s">
        <v>13</v>
      </c>
      <c r="D16" s="4" t="s">
        <v>16</v>
      </c>
      <c r="E16" s="11">
        <v>20</v>
      </c>
    </row>
    <row r="17" spans="2:5" x14ac:dyDescent="0.35">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3.6328125" bestFit="1" customWidth="1"/>
    <col min="9" max="9" width="14.81640625" bestFit="1" customWidth="1"/>
  </cols>
  <sheetData>
    <row r="1" spans="1:8" x14ac:dyDescent="0.35">
      <c r="A1" s="2" t="s">
        <v>29</v>
      </c>
    </row>
    <row r="2" spans="1:8" x14ac:dyDescent="0.35">
      <c r="A2" s="2" t="s">
        <v>30</v>
      </c>
    </row>
    <row r="3" spans="1:8" x14ac:dyDescent="0.35">
      <c r="A3" s="2" t="s">
        <v>66</v>
      </c>
    </row>
    <row r="4" spans="1:8" x14ac:dyDescent="0.35">
      <c r="A4" s="2" t="s">
        <v>2</v>
      </c>
    </row>
    <row r="11" spans="1:8" x14ac:dyDescent="0.35">
      <c r="B11" s="7" t="s">
        <v>3</v>
      </c>
      <c r="C11" s="7" t="s">
        <v>4</v>
      </c>
      <c r="D11" s="7" t="s">
        <v>5</v>
      </c>
      <c r="E11" s="7" t="s">
        <v>6</v>
      </c>
      <c r="H11" t="s">
        <v>7</v>
      </c>
    </row>
    <row r="12" spans="1:8" x14ac:dyDescent="0.35">
      <c r="B12" s="25">
        <v>42736</v>
      </c>
      <c r="C12" s="3" t="s">
        <v>8</v>
      </c>
      <c r="D12" s="3" t="s">
        <v>9</v>
      </c>
      <c r="E12" s="22">
        <v>74</v>
      </c>
      <c r="H12" s="9">
        <v>834</v>
      </c>
    </row>
    <row r="13" spans="1:8" x14ac:dyDescent="0.35">
      <c r="B13" s="26">
        <v>42750</v>
      </c>
      <c r="C13" s="4" t="s">
        <v>8</v>
      </c>
      <c r="D13" s="4" t="s">
        <v>11</v>
      </c>
      <c r="E13" s="23">
        <v>235</v>
      </c>
    </row>
    <row r="14" spans="1:8" x14ac:dyDescent="0.35">
      <c r="B14" s="25">
        <v>42752</v>
      </c>
      <c r="C14" s="3" t="s">
        <v>10</v>
      </c>
      <c r="D14" s="3" t="s">
        <v>12</v>
      </c>
      <c r="E14" s="22">
        <v>20</v>
      </c>
    </row>
    <row r="15" spans="1:8" x14ac:dyDescent="0.35">
      <c r="B15" s="26">
        <v>42756</v>
      </c>
      <c r="C15" s="4" t="s">
        <v>13</v>
      </c>
      <c r="D15" s="4" t="s">
        <v>14</v>
      </c>
      <c r="E15" s="23">
        <v>125</v>
      </c>
    </row>
    <row r="16" spans="1:8" x14ac:dyDescent="0.35">
      <c r="B16" s="25">
        <v>42768</v>
      </c>
      <c r="C16" s="3" t="s">
        <v>8</v>
      </c>
      <c r="D16" s="3" t="s">
        <v>11</v>
      </c>
      <c r="E16" s="22">
        <v>235</v>
      </c>
    </row>
    <row r="17" spans="2:5" x14ac:dyDescent="0.35">
      <c r="B17" s="26">
        <v>42786</v>
      </c>
      <c r="C17" s="4" t="s">
        <v>13</v>
      </c>
      <c r="D17" s="4" t="s">
        <v>16</v>
      </c>
      <c r="E17" s="23">
        <v>20</v>
      </c>
    </row>
    <row r="18" spans="2:5" x14ac:dyDescent="0.35">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31</v>
      </c>
    </row>
    <row r="2" spans="1:9" x14ac:dyDescent="0.35">
      <c r="A2" s="2" t="s">
        <v>32</v>
      </c>
    </row>
    <row r="3" spans="1:9" x14ac:dyDescent="0.35">
      <c r="A3" s="2" t="s">
        <v>89</v>
      </c>
    </row>
    <row r="4" spans="1:9" x14ac:dyDescent="0.35">
      <c r="A4" s="2" t="s">
        <v>2</v>
      </c>
    </row>
    <row r="11" spans="1:9" x14ac:dyDescent="0.35">
      <c r="B11" s="7" t="s">
        <v>3</v>
      </c>
      <c r="C11" s="7" t="s">
        <v>4</v>
      </c>
      <c r="D11" s="7" t="s">
        <v>5</v>
      </c>
      <c r="E11" s="7" t="s">
        <v>6</v>
      </c>
      <c r="H11" s="41" t="s">
        <v>4</v>
      </c>
      <c r="I11" t="s">
        <v>7</v>
      </c>
    </row>
    <row r="12" spans="1:9" x14ac:dyDescent="0.35">
      <c r="B12" s="25">
        <v>42736</v>
      </c>
      <c r="C12" s="3" t="s">
        <v>8</v>
      </c>
      <c r="D12" s="3" t="s">
        <v>9</v>
      </c>
      <c r="E12" s="22">
        <v>74</v>
      </c>
      <c r="H12" s="41" t="s">
        <v>10</v>
      </c>
      <c r="I12" s="24">
        <v>20</v>
      </c>
    </row>
    <row r="13" spans="1:9" x14ac:dyDescent="0.35">
      <c r="B13" s="26">
        <v>42750</v>
      </c>
      <c r="C13" s="4" t="s">
        <v>8</v>
      </c>
      <c r="D13" s="4" t="s">
        <v>11</v>
      </c>
      <c r="E13" s="23">
        <v>235</v>
      </c>
      <c r="H13" s="41" t="s">
        <v>13</v>
      </c>
      <c r="I13" s="24">
        <v>270</v>
      </c>
    </row>
    <row r="14" spans="1:9" x14ac:dyDescent="0.35">
      <c r="B14" s="25">
        <v>42752</v>
      </c>
      <c r="C14" s="3" t="s">
        <v>10</v>
      </c>
      <c r="D14" s="3" t="s">
        <v>12</v>
      </c>
      <c r="E14" s="22">
        <v>20</v>
      </c>
      <c r="H14" s="41" t="s">
        <v>8</v>
      </c>
      <c r="I14" s="24">
        <v>544</v>
      </c>
    </row>
    <row r="15" spans="1:9" x14ac:dyDescent="0.35">
      <c r="B15" s="26">
        <v>42756</v>
      </c>
      <c r="C15" s="4" t="s">
        <v>13</v>
      </c>
      <c r="D15" s="4" t="s">
        <v>14</v>
      </c>
      <c r="E15" s="23">
        <v>125</v>
      </c>
      <c r="H15" t="s">
        <v>15</v>
      </c>
      <c r="I15" s="24">
        <v>834</v>
      </c>
    </row>
    <row r="16" spans="1:9" x14ac:dyDescent="0.35">
      <c r="B16" s="25">
        <v>42768</v>
      </c>
      <c r="C16" s="3" t="s">
        <v>8</v>
      </c>
      <c r="D16" s="3" t="s">
        <v>11</v>
      </c>
      <c r="E16" s="22">
        <v>235</v>
      </c>
    </row>
    <row r="17" spans="2:5" x14ac:dyDescent="0.35">
      <c r="B17" s="26">
        <v>42786</v>
      </c>
      <c r="C17" s="4" t="s">
        <v>13</v>
      </c>
      <c r="D17" s="4" t="s">
        <v>16</v>
      </c>
      <c r="E17" s="23">
        <v>20</v>
      </c>
    </row>
    <row r="18" spans="2:5" x14ac:dyDescent="0.35">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33</v>
      </c>
    </row>
    <row r="2" spans="1:9" x14ac:dyDescent="0.35">
      <c r="A2" s="2" t="s">
        <v>1</v>
      </c>
    </row>
    <row r="3" spans="1:9" x14ac:dyDescent="0.35">
      <c r="A3" s="2" t="s">
        <v>67</v>
      </c>
    </row>
    <row r="4" spans="1:9" x14ac:dyDescent="0.35">
      <c r="A4" s="2" t="s">
        <v>2</v>
      </c>
    </row>
    <row r="10" spans="1:9" x14ac:dyDescent="0.35">
      <c r="B10" s="7" t="s">
        <v>3</v>
      </c>
      <c r="C10" s="7" t="s">
        <v>4</v>
      </c>
      <c r="D10" s="7" t="s">
        <v>5</v>
      </c>
      <c r="E10" s="7" t="s">
        <v>6</v>
      </c>
      <c r="H10" s="41" t="s">
        <v>5</v>
      </c>
      <c r="I10" t="s">
        <v>7</v>
      </c>
    </row>
    <row r="11" spans="1:9" x14ac:dyDescent="0.35">
      <c r="B11" s="5">
        <v>42736</v>
      </c>
      <c r="C11" s="3" t="s">
        <v>8</v>
      </c>
      <c r="D11" s="3" t="s">
        <v>9</v>
      </c>
      <c r="E11" s="10">
        <v>74</v>
      </c>
      <c r="H11" s="41" t="s">
        <v>14</v>
      </c>
      <c r="I11" s="24">
        <v>125</v>
      </c>
    </row>
    <row r="12" spans="1:9" x14ac:dyDescent="0.35">
      <c r="B12" s="6">
        <v>42750</v>
      </c>
      <c r="C12" s="4" t="s">
        <v>8</v>
      </c>
      <c r="D12" s="4" t="s">
        <v>11</v>
      </c>
      <c r="E12" s="11">
        <v>235</v>
      </c>
      <c r="H12" s="41" t="s">
        <v>11</v>
      </c>
      <c r="I12" s="24">
        <v>470</v>
      </c>
    </row>
    <row r="13" spans="1:9" x14ac:dyDescent="0.35">
      <c r="B13" s="5">
        <v>42752</v>
      </c>
      <c r="C13" s="3" t="s">
        <v>10</v>
      </c>
      <c r="D13" s="3" t="s">
        <v>12</v>
      </c>
      <c r="E13" s="10">
        <v>20</v>
      </c>
      <c r="H13" s="41" t="s">
        <v>9</v>
      </c>
      <c r="I13" s="24">
        <v>74</v>
      </c>
    </row>
    <row r="14" spans="1:9" x14ac:dyDescent="0.35">
      <c r="B14" s="6">
        <v>42756</v>
      </c>
      <c r="C14" s="4" t="s">
        <v>13</v>
      </c>
      <c r="D14" s="4" t="s">
        <v>14</v>
      </c>
      <c r="E14" s="11">
        <v>125</v>
      </c>
      <c r="H14" s="41" t="s">
        <v>16</v>
      </c>
      <c r="I14" s="24">
        <v>20</v>
      </c>
    </row>
    <row r="15" spans="1:9" x14ac:dyDescent="0.35">
      <c r="B15" s="5">
        <v>42768</v>
      </c>
      <c r="C15" s="3" t="s">
        <v>8</v>
      </c>
      <c r="D15" s="3" t="s">
        <v>11</v>
      </c>
      <c r="E15" s="10">
        <v>235</v>
      </c>
      <c r="H15" s="41" t="s">
        <v>12</v>
      </c>
      <c r="I15" s="24">
        <v>20</v>
      </c>
    </row>
    <row r="16" spans="1:9" x14ac:dyDescent="0.35">
      <c r="B16" s="6">
        <v>42786</v>
      </c>
      <c r="C16" s="4" t="s">
        <v>13</v>
      </c>
      <c r="D16" s="4" t="s">
        <v>16</v>
      </c>
      <c r="E16" s="11">
        <v>20</v>
      </c>
      <c r="H16" s="41" t="s">
        <v>17</v>
      </c>
      <c r="I16" s="24">
        <v>125</v>
      </c>
    </row>
    <row r="17" spans="2:9" x14ac:dyDescent="0.35">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34</v>
      </c>
    </row>
    <row r="2" spans="1:9" x14ac:dyDescent="0.35">
      <c r="A2" s="2" t="s">
        <v>1</v>
      </c>
    </row>
    <row r="3" spans="1:9" x14ac:dyDescent="0.35">
      <c r="A3" s="2" t="s">
        <v>80</v>
      </c>
    </row>
    <row r="4" spans="1:9" x14ac:dyDescent="0.35">
      <c r="A4" s="2" t="s">
        <v>2</v>
      </c>
    </row>
    <row r="10" spans="1:9" x14ac:dyDescent="0.35">
      <c r="B10" s="7" t="s">
        <v>3</v>
      </c>
      <c r="C10" s="7" t="s">
        <v>4</v>
      </c>
      <c r="D10" s="7" t="s">
        <v>5</v>
      </c>
      <c r="E10" s="7" t="s">
        <v>6</v>
      </c>
      <c r="H10" s="41" t="s">
        <v>4</v>
      </c>
      <c r="I10" t="s">
        <v>7</v>
      </c>
    </row>
    <row r="11" spans="1:9" x14ac:dyDescent="0.35">
      <c r="B11" s="25">
        <v>42736</v>
      </c>
      <c r="C11" s="3" t="s">
        <v>8</v>
      </c>
      <c r="D11" s="3" t="s">
        <v>9</v>
      </c>
      <c r="E11" s="22">
        <v>74</v>
      </c>
      <c r="H11" s="41" t="s">
        <v>10</v>
      </c>
      <c r="I11" s="24">
        <v>20</v>
      </c>
    </row>
    <row r="12" spans="1:9" x14ac:dyDescent="0.35">
      <c r="B12" s="26">
        <v>42750</v>
      </c>
      <c r="C12" s="4" t="s">
        <v>8</v>
      </c>
      <c r="D12" s="4" t="s">
        <v>11</v>
      </c>
      <c r="E12" s="23">
        <v>235</v>
      </c>
      <c r="H12" s="41" t="s">
        <v>13</v>
      </c>
      <c r="I12" s="24">
        <v>270</v>
      </c>
    </row>
    <row r="13" spans="1:9" x14ac:dyDescent="0.35">
      <c r="B13" s="25">
        <v>42752</v>
      </c>
      <c r="C13" s="3" t="s">
        <v>10</v>
      </c>
      <c r="D13" s="3" t="s">
        <v>12</v>
      </c>
      <c r="E13" s="22">
        <v>20</v>
      </c>
      <c r="H13" s="41" t="s">
        <v>8</v>
      </c>
      <c r="I13" s="24">
        <v>544</v>
      </c>
    </row>
    <row r="14" spans="1:9" x14ac:dyDescent="0.35">
      <c r="B14" s="26">
        <v>42756</v>
      </c>
      <c r="C14" s="4" t="s">
        <v>13</v>
      </c>
      <c r="D14" s="4" t="s">
        <v>14</v>
      </c>
      <c r="E14" s="23">
        <v>125</v>
      </c>
      <c r="H14" t="s">
        <v>15</v>
      </c>
      <c r="I14" s="24">
        <v>834</v>
      </c>
    </row>
    <row r="15" spans="1:9" x14ac:dyDescent="0.35">
      <c r="B15" s="25">
        <v>42768</v>
      </c>
      <c r="C15" s="3" t="s">
        <v>8</v>
      </c>
      <c r="D15" s="3" t="s">
        <v>11</v>
      </c>
      <c r="E15" s="22">
        <v>235</v>
      </c>
    </row>
    <row r="16" spans="1:9"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35</v>
      </c>
    </row>
    <row r="2" spans="1:9" x14ac:dyDescent="0.35">
      <c r="A2" s="2" t="s">
        <v>90</v>
      </c>
    </row>
    <row r="3" spans="1:9" x14ac:dyDescent="0.35">
      <c r="A3" s="2" t="s">
        <v>81</v>
      </c>
    </row>
    <row r="4" spans="1:9" x14ac:dyDescent="0.35">
      <c r="A4" s="2" t="s">
        <v>82</v>
      </c>
    </row>
    <row r="5" spans="1:9" x14ac:dyDescent="0.35">
      <c r="A5" s="2" t="s">
        <v>2</v>
      </c>
    </row>
    <row r="10" spans="1:9" x14ac:dyDescent="0.35">
      <c r="B10" s="7" t="s">
        <v>3</v>
      </c>
      <c r="C10" s="7" t="s">
        <v>4</v>
      </c>
      <c r="D10" s="7" t="s">
        <v>5</v>
      </c>
      <c r="E10" s="7" t="s">
        <v>6</v>
      </c>
      <c r="H10" s="8" t="s">
        <v>4</v>
      </c>
      <c r="I10" t="s">
        <v>7</v>
      </c>
    </row>
    <row r="11" spans="1:9" x14ac:dyDescent="0.35">
      <c r="B11" s="25">
        <v>42736</v>
      </c>
      <c r="C11" s="3" t="s">
        <v>8</v>
      </c>
      <c r="D11" s="3" t="s">
        <v>9</v>
      </c>
      <c r="E11" s="22">
        <v>74</v>
      </c>
      <c r="H11" t="s">
        <v>10</v>
      </c>
      <c r="I11" s="24">
        <v>20</v>
      </c>
    </row>
    <row r="12" spans="1:9" x14ac:dyDescent="0.35">
      <c r="B12" s="26">
        <v>42750</v>
      </c>
      <c r="C12" s="4" t="s">
        <v>8</v>
      </c>
      <c r="D12" s="4" t="s">
        <v>11</v>
      </c>
      <c r="E12" s="23">
        <v>235</v>
      </c>
      <c r="H12" t="s">
        <v>13</v>
      </c>
      <c r="I12" s="24">
        <v>270</v>
      </c>
    </row>
    <row r="13" spans="1:9" x14ac:dyDescent="0.35">
      <c r="B13" s="25">
        <v>42752</v>
      </c>
      <c r="C13" s="3" t="s">
        <v>10</v>
      </c>
      <c r="D13" s="3" t="s">
        <v>12</v>
      </c>
      <c r="E13" s="22">
        <v>20</v>
      </c>
      <c r="H13" t="s">
        <v>8</v>
      </c>
      <c r="I13" s="24">
        <v>544</v>
      </c>
    </row>
    <row r="14" spans="1:9" x14ac:dyDescent="0.35">
      <c r="B14" s="26">
        <v>42756</v>
      </c>
      <c r="C14" s="4" t="s">
        <v>13</v>
      </c>
      <c r="D14" s="4" t="s">
        <v>14</v>
      </c>
      <c r="E14" s="23">
        <v>125</v>
      </c>
      <c r="H14" t="s">
        <v>15</v>
      </c>
      <c r="I14" s="24">
        <v>834</v>
      </c>
    </row>
    <row r="15" spans="1:9" x14ac:dyDescent="0.35">
      <c r="B15" s="25">
        <v>42768</v>
      </c>
      <c r="C15" s="3" t="s">
        <v>8</v>
      </c>
      <c r="D15" s="3" t="s">
        <v>11</v>
      </c>
      <c r="E15" s="22">
        <v>235</v>
      </c>
    </row>
    <row r="16" spans="1:9"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topLeftCell="A19" zoomScaleNormal="100" workbookViewId="0"/>
  </sheetViews>
  <sheetFormatPr defaultColWidth="8.81640625" defaultRowHeight="14.5" x14ac:dyDescent="0.35"/>
  <cols>
    <col min="1" max="1" width="8.81640625" style="2"/>
    <col min="2" max="4" width="8.81640625" style="1"/>
    <col min="5" max="6" width="10.1796875" style="1" customWidth="1"/>
    <col min="7" max="7" width="14.81640625" style="1" bestFit="1" customWidth="1"/>
    <col min="8" max="8" width="8.453125" style="1" bestFit="1" customWidth="1"/>
    <col min="9" max="9" width="14.81640625" style="1" bestFit="1" customWidth="1"/>
    <col min="10" max="16384" width="8.81640625" style="1"/>
  </cols>
  <sheetData>
    <row r="1" spans="1:6" x14ac:dyDescent="0.35">
      <c r="A1" s="2" t="s">
        <v>68</v>
      </c>
    </row>
    <row r="2" spans="1:6" x14ac:dyDescent="0.35">
      <c r="A2" s="2" t="s">
        <v>36</v>
      </c>
    </row>
    <row r="3" spans="1:6" x14ac:dyDescent="0.35">
      <c r="A3" s="2" t="s">
        <v>37</v>
      </c>
    </row>
    <row r="4" spans="1:6" x14ac:dyDescent="0.35">
      <c r="A4" s="2" t="s">
        <v>38</v>
      </c>
    </row>
    <row r="5" spans="1:6" x14ac:dyDescent="0.35">
      <c r="A5" s="2" t="s">
        <v>2</v>
      </c>
    </row>
    <row r="14" spans="1:6" x14ac:dyDescent="0.35">
      <c r="C14" s="7" t="s">
        <v>3</v>
      </c>
      <c r="D14" s="7" t="s">
        <v>4</v>
      </c>
      <c r="E14" s="7" t="s">
        <v>5</v>
      </c>
      <c r="F14" s="7" t="s">
        <v>6</v>
      </c>
    </row>
    <row r="15" spans="1:6" x14ac:dyDescent="0.35">
      <c r="C15" s="25">
        <v>42736</v>
      </c>
      <c r="D15" s="3" t="s">
        <v>8</v>
      </c>
      <c r="E15" s="3" t="s">
        <v>9</v>
      </c>
      <c r="F15" s="22">
        <v>74</v>
      </c>
    </row>
    <row r="16" spans="1:6" x14ac:dyDescent="0.35">
      <c r="C16" s="26">
        <v>42750</v>
      </c>
      <c r="D16" s="4" t="s">
        <v>8</v>
      </c>
      <c r="E16" s="4" t="s">
        <v>11</v>
      </c>
      <c r="F16" s="23">
        <v>235</v>
      </c>
    </row>
    <row r="17" spans="3:6" x14ac:dyDescent="0.35">
      <c r="C17" s="25">
        <v>42752</v>
      </c>
      <c r="D17" s="3" t="s">
        <v>10</v>
      </c>
      <c r="E17" s="3" t="s">
        <v>12</v>
      </c>
      <c r="F17" s="22">
        <v>20</v>
      </c>
    </row>
    <row r="18" spans="3:6" x14ac:dyDescent="0.35">
      <c r="C18" s="26">
        <v>42756</v>
      </c>
      <c r="D18" s="4" t="s">
        <v>13</v>
      </c>
      <c r="E18" s="4" t="s">
        <v>14</v>
      </c>
      <c r="F18" s="23">
        <v>125</v>
      </c>
    </row>
    <row r="19" spans="3:6" x14ac:dyDescent="0.35">
      <c r="C19" s="25">
        <v>42768</v>
      </c>
      <c r="D19" s="3" t="s">
        <v>8</v>
      </c>
      <c r="E19" s="3" t="s">
        <v>11</v>
      </c>
      <c r="F19" s="22">
        <v>235</v>
      </c>
    </row>
    <row r="20" spans="3:6" x14ac:dyDescent="0.35">
      <c r="C20" s="26">
        <v>42786</v>
      </c>
      <c r="D20" s="4" t="s">
        <v>13</v>
      </c>
      <c r="E20" s="4" t="s">
        <v>16</v>
      </c>
      <c r="F20" s="23">
        <v>20</v>
      </c>
    </row>
    <row r="21" spans="3:6" x14ac:dyDescent="0.35">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topLeftCell="A22" zoomScaleNormal="100" workbookViewId="0"/>
  </sheetViews>
  <sheetFormatPr defaultColWidth="8.81640625" defaultRowHeight="14.5" x14ac:dyDescent="0.35"/>
  <cols>
    <col min="1" max="1" width="8.81640625" style="2"/>
    <col min="2" max="4" width="8.81640625" style="1"/>
    <col min="5" max="5" width="10.1796875" style="1" customWidth="1"/>
    <col min="6" max="6" width="8.81640625" style="1"/>
    <col min="7" max="7" width="14.81640625" style="1" bestFit="1" customWidth="1"/>
    <col min="8" max="8" width="8.453125" style="1" bestFit="1" customWidth="1"/>
    <col min="9" max="9" width="14.81640625" style="1" bestFit="1" customWidth="1"/>
    <col min="10" max="16384" width="8.81640625" style="1"/>
  </cols>
  <sheetData>
    <row r="1" spans="1:1" x14ac:dyDescent="0.35">
      <c r="A1" s="2" t="s">
        <v>83</v>
      </c>
    </row>
    <row r="2" spans="1:1" x14ac:dyDescent="0.35">
      <c r="A2" s="2" t="s">
        <v>69</v>
      </c>
    </row>
    <row r="3" spans="1:1" ht="14.5" customHeight="1" x14ac:dyDescent="0.35">
      <c r="A3" s="28" t="s">
        <v>84</v>
      </c>
    </row>
    <row r="4" spans="1:1" x14ac:dyDescent="0.35">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topLeftCell="A22" zoomScaleNormal="100" workbookViewId="0"/>
  </sheetViews>
  <sheetFormatPr defaultColWidth="8.81640625" defaultRowHeight="14.5" x14ac:dyDescent="0.35"/>
  <cols>
    <col min="1" max="1" width="8.81640625" style="2"/>
    <col min="2" max="4" width="8.81640625" style="1"/>
    <col min="5" max="5" width="13.6328125" style="1" bestFit="1" customWidth="1"/>
    <col min="6" max="6" width="8.81640625" style="1"/>
    <col min="7" max="7" width="13.453125" style="1" customWidth="1"/>
    <col min="8" max="8" width="8.453125" style="1" bestFit="1" customWidth="1"/>
    <col min="9" max="9" width="14.81640625" style="1" bestFit="1" customWidth="1"/>
    <col min="10" max="16384" width="8.81640625" style="1"/>
  </cols>
  <sheetData>
    <row r="1" spans="1:9" x14ac:dyDescent="0.35">
      <c r="A1" s="2" t="s">
        <v>39</v>
      </c>
    </row>
    <row r="2" spans="1:9" x14ac:dyDescent="0.35">
      <c r="A2" s="2" t="s">
        <v>70</v>
      </c>
    </row>
    <row r="3" spans="1:9" x14ac:dyDescent="0.35">
      <c r="A3" s="2" t="s">
        <v>71</v>
      </c>
    </row>
    <row r="4" spans="1:9" x14ac:dyDescent="0.35">
      <c r="A4" s="2" t="s">
        <v>2</v>
      </c>
    </row>
    <row r="12" spans="1:9" x14ac:dyDescent="0.35">
      <c r="E12" t="s">
        <v>7</v>
      </c>
      <c r="F12"/>
      <c r="G12"/>
    </row>
    <row r="13" spans="1:9" x14ac:dyDescent="0.35">
      <c r="B13"/>
      <c r="C13"/>
      <c r="D13"/>
      <c r="E13" s="24">
        <v>834</v>
      </c>
      <c r="F13"/>
      <c r="G13"/>
      <c r="H13"/>
      <c r="I13"/>
    </row>
    <row r="14" spans="1:9" x14ac:dyDescent="0.35">
      <c r="B14" s="13"/>
      <c r="C14"/>
      <c r="D14"/>
      <c r="E14"/>
      <c r="F14"/>
      <c r="G14"/>
      <c r="H14"/>
      <c r="I14"/>
    </row>
    <row r="15" spans="1:9" x14ac:dyDescent="0.35">
      <c r="B15" s="13"/>
      <c r="C15"/>
      <c r="D15"/>
      <c r="E15"/>
      <c r="F15"/>
      <c r="G15"/>
      <c r="H15"/>
      <c r="I15"/>
    </row>
    <row r="16" spans="1:9" x14ac:dyDescent="0.35">
      <c r="B16" s="13"/>
      <c r="C16"/>
      <c r="D16"/>
      <c r="E16"/>
      <c r="F16"/>
      <c r="G16"/>
      <c r="H16"/>
      <c r="I16"/>
    </row>
    <row r="17" spans="2:9" x14ac:dyDescent="0.35">
      <c r="B17" s="13"/>
      <c r="C17"/>
      <c r="D17"/>
      <c r="E17"/>
      <c r="F17"/>
      <c r="G17"/>
      <c r="H17"/>
      <c r="I17"/>
    </row>
    <row r="18" spans="2:9" x14ac:dyDescent="0.35">
      <c r="B18" s="13"/>
      <c r="C18"/>
      <c r="D18"/>
      <c r="E18"/>
      <c r="F18"/>
      <c r="G18"/>
      <c r="H18"/>
      <c r="I18"/>
    </row>
    <row r="19" spans="2:9" x14ac:dyDescent="0.35">
      <c r="B19" s="13"/>
      <c r="C19"/>
      <c r="D19"/>
      <c r="E19"/>
      <c r="F19"/>
      <c r="G19"/>
      <c r="H19"/>
      <c r="I19"/>
    </row>
    <row r="20" spans="2:9" x14ac:dyDescent="0.35">
      <c r="B20" s="13"/>
      <c r="C20"/>
      <c r="D20"/>
      <c r="E20"/>
      <c r="F20"/>
      <c r="G20"/>
      <c r="H20"/>
      <c r="I20"/>
    </row>
    <row r="21" spans="2:9" x14ac:dyDescent="0.35">
      <c r="E21"/>
      <c r="F21"/>
      <c r="G21"/>
      <c r="H21"/>
      <c r="I21"/>
    </row>
    <row r="22" spans="2:9" x14ac:dyDescent="0.35">
      <c r="E22"/>
      <c r="F22"/>
      <c r="G22"/>
      <c r="H22"/>
      <c r="I22"/>
    </row>
    <row r="23" spans="2:9" x14ac:dyDescent="0.35">
      <c r="E23"/>
      <c r="F23"/>
      <c r="G23"/>
      <c r="H23"/>
      <c r="I23"/>
    </row>
    <row r="24" spans="2:9" x14ac:dyDescent="0.35">
      <c r="E24"/>
      <c r="F24"/>
      <c r="G24"/>
      <c r="H24"/>
      <c r="I24"/>
    </row>
    <row r="25" spans="2:9" x14ac:dyDescent="0.35">
      <c r="E25"/>
      <c r="F25"/>
      <c r="G25"/>
      <c r="H25"/>
      <c r="I25"/>
    </row>
    <row r="26" spans="2:9" x14ac:dyDescent="0.35">
      <c r="E26"/>
      <c r="F26"/>
      <c r="G26"/>
      <c r="H26"/>
      <c r="I26"/>
    </row>
    <row r="27" spans="2:9" x14ac:dyDescent="0.35">
      <c r="E27"/>
      <c r="F27"/>
      <c r="G27"/>
      <c r="H27"/>
      <c r="I27"/>
    </row>
    <row r="28" spans="2:9" x14ac:dyDescent="0.35">
      <c r="E28"/>
      <c r="F28"/>
      <c r="G28"/>
      <c r="H28"/>
      <c r="I28"/>
    </row>
    <row r="29" spans="2:9" x14ac:dyDescent="0.35">
      <c r="E29"/>
      <c r="F29"/>
      <c r="G29"/>
      <c r="H29"/>
      <c r="I29"/>
    </row>
    <row r="30" spans="2:9" x14ac:dyDescent="0.35">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topLeftCell="A22" zoomScaleNormal="100" workbookViewId="0"/>
  </sheetViews>
  <sheetFormatPr defaultColWidth="8.81640625" defaultRowHeight="14.5" x14ac:dyDescent="0.35"/>
  <cols>
    <col min="1" max="1" width="8.81640625" style="2"/>
    <col min="2" max="4" width="8.81640625" style="1"/>
    <col min="5" max="5" width="13.6328125" style="1" bestFit="1" customWidth="1"/>
    <col min="6" max="6" width="8.81640625" style="1"/>
    <col min="7" max="7" width="13.453125" style="1" customWidth="1"/>
    <col min="8" max="8" width="8.453125" style="1" bestFit="1" customWidth="1"/>
    <col min="9" max="9" width="14.81640625" style="1" bestFit="1" customWidth="1"/>
    <col min="10" max="16384" width="8.81640625" style="1"/>
  </cols>
  <sheetData>
    <row r="1" spans="1:9" x14ac:dyDescent="0.35">
      <c r="A1" s="2" t="s">
        <v>94</v>
      </c>
    </row>
    <row r="2" spans="1:9" x14ac:dyDescent="0.35">
      <c r="A2" s="2" t="s">
        <v>72</v>
      </c>
    </row>
    <row r="3" spans="1:9" x14ac:dyDescent="0.35">
      <c r="A3" s="2" t="s">
        <v>73</v>
      </c>
    </row>
    <row r="4" spans="1:9" x14ac:dyDescent="0.35">
      <c r="A4" s="2" t="s">
        <v>2</v>
      </c>
    </row>
    <row r="12" spans="1:9" x14ac:dyDescent="0.35">
      <c r="E12" t="s">
        <v>7</v>
      </c>
    </row>
    <row r="13" spans="1:9" x14ac:dyDescent="0.35">
      <c r="B13"/>
      <c r="C13"/>
      <c r="D13"/>
      <c r="E13" s="24">
        <v>834</v>
      </c>
      <c r="H13"/>
      <c r="I13"/>
    </row>
    <row r="14" spans="1:9" x14ac:dyDescent="0.35">
      <c r="B14" s="13"/>
      <c r="C14"/>
      <c r="D14"/>
      <c r="E14"/>
      <c r="H14"/>
      <c r="I14"/>
    </row>
    <row r="15" spans="1:9" x14ac:dyDescent="0.35">
      <c r="B15" s="13"/>
      <c r="C15"/>
      <c r="D15"/>
      <c r="E15"/>
      <c r="G15"/>
      <c r="H15"/>
      <c r="I15"/>
    </row>
    <row r="16" spans="1:9" x14ac:dyDescent="0.35">
      <c r="B16" s="13"/>
      <c r="C16"/>
      <c r="D16"/>
      <c r="E16"/>
      <c r="G16"/>
      <c r="H16"/>
      <c r="I16"/>
    </row>
    <row r="17" spans="2:9" x14ac:dyDescent="0.35">
      <c r="B17" s="13"/>
      <c r="C17"/>
      <c r="D17"/>
      <c r="E17"/>
      <c r="G17"/>
      <c r="H17"/>
      <c r="I17"/>
    </row>
    <row r="18" spans="2:9" x14ac:dyDescent="0.35">
      <c r="B18" s="13"/>
      <c r="C18"/>
      <c r="D18"/>
      <c r="E18"/>
      <c r="G18"/>
      <c r="H18"/>
      <c r="I18"/>
    </row>
    <row r="19" spans="2:9" x14ac:dyDescent="0.35">
      <c r="B19" s="13"/>
      <c r="C19"/>
      <c r="D19"/>
      <c r="E19"/>
      <c r="G19"/>
      <c r="H19"/>
      <c r="I19"/>
    </row>
    <row r="20" spans="2:9" x14ac:dyDescent="0.35">
      <c r="B20" s="13"/>
      <c r="C20"/>
      <c r="D20"/>
      <c r="E20"/>
      <c r="G20"/>
      <c r="H20"/>
      <c r="I20"/>
    </row>
    <row r="21" spans="2:9" x14ac:dyDescent="0.35">
      <c r="G21"/>
      <c r="H21"/>
      <c r="I21"/>
    </row>
    <row r="22" spans="2:9" x14ac:dyDescent="0.35">
      <c r="G22"/>
      <c r="H22"/>
      <c r="I22"/>
    </row>
    <row r="23" spans="2:9" x14ac:dyDescent="0.35">
      <c r="G23"/>
      <c r="H23"/>
      <c r="I23"/>
    </row>
    <row r="24" spans="2:9" x14ac:dyDescent="0.35">
      <c r="G24"/>
      <c r="H24"/>
      <c r="I24"/>
    </row>
    <row r="25" spans="2:9" x14ac:dyDescent="0.35">
      <c r="G25"/>
      <c r="H25"/>
      <c r="I25"/>
    </row>
    <row r="26" spans="2:9" x14ac:dyDescent="0.35">
      <c r="G26"/>
      <c r="H26"/>
      <c r="I26"/>
    </row>
    <row r="27" spans="2:9" x14ac:dyDescent="0.35">
      <c r="G27"/>
      <c r="H27"/>
      <c r="I27"/>
    </row>
    <row r="28" spans="2:9" x14ac:dyDescent="0.35">
      <c r="G28"/>
      <c r="H28"/>
      <c r="I28"/>
    </row>
    <row r="29" spans="2:9" x14ac:dyDescent="0.35">
      <c r="G29"/>
      <c r="H29"/>
      <c r="I29"/>
    </row>
    <row r="30" spans="2:9" x14ac:dyDescent="0.35">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0"/>
  <sheetViews>
    <sheetView showGridLines="0" showRowColHeaders="0" topLeftCell="A19" zoomScaleNormal="100" workbookViewId="0"/>
  </sheetViews>
  <sheetFormatPr defaultColWidth="8.81640625" defaultRowHeight="14.5" x14ac:dyDescent="0.35"/>
  <cols>
    <col min="1" max="1" width="8.81640625" style="2"/>
    <col min="2" max="2" width="8.81640625" style="1"/>
    <col min="3" max="3" width="8.81640625" style="1" customWidth="1"/>
    <col min="4" max="4" width="12.08984375" style="1" bestFit="1" customWidth="1"/>
    <col min="5" max="5" width="13.6328125" style="1" bestFit="1" customWidth="1"/>
    <col min="6" max="6" width="14.1796875" style="1" bestFit="1" customWidth="1"/>
    <col min="7" max="7" width="13.453125" style="1" customWidth="1"/>
    <col min="8" max="8" width="8.453125" style="1" bestFit="1" customWidth="1"/>
    <col min="9" max="9" width="14.81640625" style="1" bestFit="1" customWidth="1"/>
    <col min="10" max="16384" width="8.81640625" style="1"/>
  </cols>
  <sheetData>
    <row r="1" spans="1:9" x14ac:dyDescent="0.35">
      <c r="A1" s="2" t="s">
        <v>74</v>
      </c>
    </row>
    <row r="2" spans="1:9" x14ac:dyDescent="0.35">
      <c r="A2" s="2" t="s">
        <v>75</v>
      </c>
    </row>
    <row r="3" spans="1:9" x14ac:dyDescent="0.35">
      <c r="A3" s="2" t="s">
        <v>40</v>
      </c>
    </row>
    <row r="4" spans="1:9" x14ac:dyDescent="0.35">
      <c r="A4" s="2" t="s">
        <v>76</v>
      </c>
    </row>
    <row r="5" spans="1:9" x14ac:dyDescent="0.35">
      <c r="A5" s="2" t="s">
        <v>2</v>
      </c>
    </row>
    <row r="12" spans="1:9" x14ac:dyDescent="0.35">
      <c r="D12" s="8" t="s">
        <v>20</v>
      </c>
      <c r="E12" t="s">
        <v>7</v>
      </c>
    </row>
    <row r="13" spans="1:9" x14ac:dyDescent="0.35">
      <c r="B13"/>
      <c r="C13"/>
      <c r="D13" s="12" t="s">
        <v>10</v>
      </c>
      <c r="E13" s="24">
        <v>20</v>
      </c>
      <c r="H13"/>
      <c r="I13"/>
    </row>
    <row r="14" spans="1:9" x14ac:dyDescent="0.35">
      <c r="B14" s="13"/>
      <c r="C14"/>
      <c r="D14" s="12" t="s">
        <v>13</v>
      </c>
      <c r="E14" s="24">
        <v>270</v>
      </c>
      <c r="H14"/>
      <c r="I14"/>
    </row>
    <row r="15" spans="1:9" x14ac:dyDescent="0.35">
      <c r="B15" s="13"/>
      <c r="C15"/>
      <c r="D15" s="12" t="s">
        <v>8</v>
      </c>
      <c r="E15" s="24">
        <v>544</v>
      </c>
      <c r="G15"/>
      <c r="H15"/>
      <c r="I15"/>
    </row>
    <row r="16" spans="1:9" x14ac:dyDescent="0.35">
      <c r="B16" s="13"/>
      <c r="C16"/>
      <c r="D16" s="12" t="s">
        <v>15</v>
      </c>
      <c r="E16" s="24">
        <v>834</v>
      </c>
      <c r="G16"/>
      <c r="H16"/>
      <c r="I16"/>
    </row>
    <row r="17" spans="2:9" x14ac:dyDescent="0.35">
      <c r="B17" s="13"/>
      <c r="C17"/>
      <c r="D17"/>
      <c r="E17"/>
      <c r="G17"/>
      <c r="H17"/>
      <c r="I17"/>
    </row>
    <row r="18" spans="2:9" x14ac:dyDescent="0.35">
      <c r="B18" s="13"/>
      <c r="C18"/>
      <c r="D18"/>
      <c r="E18"/>
      <c r="G18"/>
      <c r="H18"/>
      <c r="I18"/>
    </row>
    <row r="19" spans="2:9" x14ac:dyDescent="0.35">
      <c r="B19" s="13"/>
      <c r="C19"/>
      <c r="D19"/>
      <c r="E19"/>
      <c r="G19"/>
      <c r="H19"/>
      <c r="I19"/>
    </row>
    <row r="20" spans="2:9" x14ac:dyDescent="0.35">
      <c r="B20" s="13"/>
      <c r="C20"/>
      <c r="D20"/>
      <c r="E20"/>
      <c r="G20"/>
      <c r="H20"/>
      <c r="I20"/>
    </row>
    <row r="21" spans="2:9" x14ac:dyDescent="0.35">
      <c r="G21"/>
      <c r="H21"/>
      <c r="I21"/>
    </row>
    <row r="22" spans="2:9" x14ac:dyDescent="0.35">
      <c r="G22"/>
      <c r="H22"/>
      <c r="I22"/>
    </row>
    <row r="23" spans="2:9" x14ac:dyDescent="0.35">
      <c r="G23"/>
      <c r="H23"/>
      <c r="I23"/>
    </row>
    <row r="24" spans="2:9" x14ac:dyDescent="0.35">
      <c r="G24"/>
      <c r="H24"/>
      <c r="I24"/>
    </row>
    <row r="25" spans="2:9" x14ac:dyDescent="0.35">
      <c r="G25"/>
      <c r="H25"/>
      <c r="I25"/>
    </row>
    <row r="26" spans="2:9" x14ac:dyDescent="0.35">
      <c r="G26"/>
      <c r="H26"/>
      <c r="I26"/>
    </row>
    <row r="27" spans="2:9" x14ac:dyDescent="0.35">
      <c r="G27"/>
      <c r="H27"/>
      <c r="I27"/>
    </row>
    <row r="28" spans="2:9" x14ac:dyDescent="0.35">
      <c r="G28"/>
      <c r="H28"/>
      <c r="I28"/>
    </row>
    <row r="29" spans="2:9" x14ac:dyDescent="0.35">
      <c r="G29"/>
      <c r="H29"/>
      <c r="I29"/>
    </row>
    <row r="30" spans="2:9" x14ac:dyDescent="0.35">
      <c r="G30"/>
      <c r="H30"/>
      <c r="I30"/>
    </row>
  </sheetData>
  <printOptions horizontalCentered="1"/>
  <pageMargins left="0.7" right="0.7" top="0.75" bottom="0.75" header="0.3" footer="0.3"/>
  <pageSetup scale="47" fitToHeight="0" orientation="portrait" verticalDpi="200" r:id="rId2"/>
  <headerFooter differentFirst="1"/>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I21"/>
  <sheetViews>
    <sheetView showGridLines="0" showRowColHeaders="0" topLeftCell="A19" zoomScaleNormal="100" workbookViewId="0">
      <selection activeCell="K18" sqref="K18"/>
    </sheetView>
  </sheetViews>
  <sheetFormatPr defaultColWidth="9.1796875" defaultRowHeight="14.5" x14ac:dyDescent="0.35"/>
  <cols>
    <col min="1" max="1" width="9.1796875" style="2"/>
    <col min="5" max="5" width="10.1796875" customWidth="1"/>
    <col min="7" max="7" width="14.81640625" bestFit="1" customWidth="1"/>
    <col min="8" max="8" width="10.7265625" bestFit="1" customWidth="1"/>
    <col min="9" max="9" width="14" customWidth="1"/>
    <col min="10" max="10" width="14.81640625" bestFit="1" customWidth="1"/>
  </cols>
  <sheetData>
    <row r="1" spans="1:9" x14ac:dyDescent="0.35">
      <c r="A1" s="2" t="s">
        <v>41</v>
      </c>
    </row>
    <row r="2" spans="1:9" x14ac:dyDescent="0.35">
      <c r="A2" s="2" t="s">
        <v>42</v>
      </c>
    </row>
    <row r="3" spans="1:9" x14ac:dyDescent="0.35">
      <c r="A3" s="2" t="s">
        <v>43</v>
      </c>
    </row>
    <row r="4" spans="1:9" x14ac:dyDescent="0.35">
      <c r="A4" s="2" t="s">
        <v>85</v>
      </c>
    </row>
    <row r="5" spans="1:9" x14ac:dyDescent="0.35">
      <c r="A5" s="2" t="s">
        <v>44</v>
      </c>
    </row>
    <row r="6" spans="1:9" x14ac:dyDescent="0.35">
      <c r="A6" s="2" t="s">
        <v>87</v>
      </c>
    </row>
    <row r="7" spans="1:9" x14ac:dyDescent="0.35">
      <c r="A7" s="2" t="s">
        <v>45</v>
      </c>
    </row>
    <row r="8" spans="1:9" x14ac:dyDescent="0.35">
      <c r="A8" s="2" t="s">
        <v>2</v>
      </c>
    </row>
    <row r="10" spans="1:9" x14ac:dyDescent="0.35">
      <c r="H10" s="20"/>
    </row>
    <row r="11" spans="1:9" x14ac:dyDescent="0.35">
      <c r="H11" s="20"/>
    </row>
    <row r="12" spans="1:9" ht="18.5" x14ac:dyDescent="0.45">
      <c r="H12" s="21" t="str">
        <f>IF(AND($H$14="Buyer",$I$18=834),"Good job! You placed the fields correctly."," ")</f>
        <v>Good job! You placed the fields correctly.</v>
      </c>
    </row>
    <row r="14" spans="1:9" x14ac:dyDescent="0.35">
      <c r="B14" s="7" t="s">
        <v>3</v>
      </c>
      <c r="C14" s="7" t="s">
        <v>4</v>
      </c>
      <c r="D14" s="7" t="s">
        <v>5</v>
      </c>
      <c r="E14" s="7" t="s">
        <v>6</v>
      </c>
      <c r="H14" s="8" t="s">
        <v>4</v>
      </c>
      <c r="I14" t="s">
        <v>7</v>
      </c>
    </row>
    <row r="15" spans="1:9" x14ac:dyDescent="0.35">
      <c r="B15" s="25">
        <v>42736</v>
      </c>
      <c r="C15" s="3" t="s">
        <v>8</v>
      </c>
      <c r="D15" s="3" t="s">
        <v>9</v>
      </c>
      <c r="E15" s="22">
        <v>74</v>
      </c>
      <c r="H15" t="s">
        <v>10</v>
      </c>
      <c r="I15" s="24">
        <v>20</v>
      </c>
    </row>
    <row r="16" spans="1:9" x14ac:dyDescent="0.35">
      <c r="B16" s="26">
        <v>42750</v>
      </c>
      <c r="C16" s="4" t="s">
        <v>8</v>
      </c>
      <c r="D16" s="4" t="s">
        <v>11</v>
      </c>
      <c r="E16" s="23">
        <v>235</v>
      </c>
      <c r="H16" t="s">
        <v>13</v>
      </c>
      <c r="I16" s="24">
        <v>270</v>
      </c>
    </row>
    <row r="17" spans="2:9" x14ac:dyDescent="0.35">
      <c r="B17" s="25">
        <v>42752</v>
      </c>
      <c r="C17" s="3" t="s">
        <v>10</v>
      </c>
      <c r="D17" s="3" t="s">
        <v>12</v>
      </c>
      <c r="E17" s="22">
        <v>20</v>
      </c>
      <c r="H17" t="s">
        <v>8</v>
      </c>
      <c r="I17" s="24">
        <v>544</v>
      </c>
    </row>
    <row r="18" spans="2:9" x14ac:dyDescent="0.35">
      <c r="B18" s="26">
        <v>42756</v>
      </c>
      <c r="C18" s="4" t="s">
        <v>13</v>
      </c>
      <c r="D18" s="4" t="s">
        <v>14</v>
      </c>
      <c r="E18" s="23">
        <v>125</v>
      </c>
      <c r="H18" t="s">
        <v>15</v>
      </c>
      <c r="I18" s="24">
        <v>834</v>
      </c>
    </row>
    <row r="19" spans="2:9" x14ac:dyDescent="0.35">
      <c r="B19" s="25">
        <v>42768</v>
      </c>
      <c r="C19" s="3" t="s">
        <v>8</v>
      </c>
      <c r="D19" s="3" t="s">
        <v>11</v>
      </c>
      <c r="E19" s="22">
        <v>235</v>
      </c>
    </row>
    <row r="20" spans="2:9" x14ac:dyDescent="0.35">
      <c r="B20" s="26">
        <v>42786</v>
      </c>
      <c r="C20" s="4" t="s">
        <v>13</v>
      </c>
      <c r="D20" s="4" t="s">
        <v>16</v>
      </c>
      <c r="E20" s="23">
        <v>20</v>
      </c>
    </row>
    <row r="21" spans="2:9" x14ac:dyDescent="0.35">
      <c r="B21" s="25">
        <v>42791</v>
      </c>
      <c r="C21" s="3" t="s">
        <v>13</v>
      </c>
      <c r="D21" s="3" t="s">
        <v>17</v>
      </c>
      <c r="E21" s="22">
        <v>125</v>
      </c>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topLeftCell="A19" zoomScaleNormal="100" workbookViewId="0"/>
  </sheetViews>
  <sheetFormatPr defaultColWidth="8.81640625" defaultRowHeight="14.5" x14ac:dyDescent="0.35"/>
  <cols>
    <col min="1" max="1" width="8.81640625" style="2"/>
    <col min="2" max="4" width="8.81640625" style="1"/>
    <col min="5" max="5" width="10.1796875" style="1" customWidth="1"/>
    <col min="6" max="6" width="8.81640625" style="1"/>
    <col min="7" max="7" width="14.81640625" style="1" bestFit="1" customWidth="1"/>
    <col min="8" max="8" width="8.453125" style="1" bestFit="1" customWidth="1"/>
    <col min="9" max="9" width="14.81640625" style="1" bestFit="1" customWidth="1"/>
    <col min="10" max="16384" width="8.81640625" style="1"/>
  </cols>
  <sheetData>
    <row r="1" spans="1:1" x14ac:dyDescent="0.35">
      <c r="A1" s="2" t="s">
        <v>46</v>
      </c>
    </row>
    <row r="2" spans="1:1" x14ac:dyDescent="0.35">
      <c r="A2" s="2" t="s">
        <v>47</v>
      </c>
    </row>
    <row r="3" spans="1:1" x14ac:dyDescent="0.35">
      <c r="A3" s="2" t="s">
        <v>48</v>
      </c>
    </row>
    <row r="4" spans="1:1" x14ac:dyDescent="0.35">
      <c r="A4" s="2" t="s">
        <v>49</v>
      </c>
    </row>
    <row r="5" spans="1:1" x14ac:dyDescent="0.35">
      <c r="A5" s="2" t="s">
        <v>88</v>
      </c>
    </row>
    <row r="6" spans="1:1" x14ac:dyDescent="0.35">
      <c r="A6" s="2" t="s">
        <v>50</v>
      </c>
    </row>
    <row r="7" spans="1:1" x14ac:dyDescent="0.35">
      <c r="A7" s="2" t="s">
        <v>2</v>
      </c>
    </row>
  </sheetData>
  <pageMargins left="0.7" right="0.7" top="0.75" bottom="0.75" header="0.3" footer="0.3"/>
  <pageSetup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8A0C-6AD2-4D83-BADC-149723D7AF22}">
  <dimension ref="A3:K209"/>
  <sheetViews>
    <sheetView topLeftCell="A188" zoomScale="98" zoomScaleNormal="98" workbookViewId="0">
      <selection activeCell="H193" sqref="H193"/>
    </sheetView>
  </sheetViews>
  <sheetFormatPr defaultRowHeight="14.5" x14ac:dyDescent="0.35"/>
  <cols>
    <col min="1" max="1" width="13.81640625" bestFit="1" customWidth="1"/>
    <col min="2" max="2" width="10" bestFit="1" customWidth="1"/>
    <col min="3" max="3" width="18.26953125" bestFit="1" customWidth="1"/>
    <col min="4" max="4" width="20" bestFit="1" customWidth="1"/>
    <col min="5" max="5" width="9.7265625" bestFit="1" customWidth="1"/>
    <col min="6" max="7" width="7.36328125" bestFit="1" customWidth="1"/>
    <col min="8" max="8" width="10" customWidth="1"/>
    <col min="9" max="9" width="8.90625" customWidth="1"/>
  </cols>
  <sheetData>
    <row r="3" spans="1:6" x14ac:dyDescent="0.35">
      <c r="A3" s="8" t="s">
        <v>20</v>
      </c>
      <c r="B3" t="s">
        <v>7</v>
      </c>
    </row>
    <row r="4" spans="1:6" x14ac:dyDescent="0.35">
      <c r="A4" s="12" t="s">
        <v>10</v>
      </c>
      <c r="B4" s="24">
        <v>20</v>
      </c>
    </row>
    <row r="5" spans="1:6" x14ac:dyDescent="0.35">
      <c r="A5" s="12" t="s">
        <v>13</v>
      </c>
      <c r="B5" s="24">
        <v>270</v>
      </c>
    </row>
    <row r="6" spans="1:6" x14ac:dyDescent="0.35">
      <c r="A6" s="12" t="s">
        <v>8</v>
      </c>
      <c r="B6" s="24">
        <v>544</v>
      </c>
    </row>
    <row r="7" spans="1:6" x14ac:dyDescent="0.35">
      <c r="A7" s="12" t="s">
        <v>15</v>
      </c>
      <c r="B7" s="24">
        <v>834</v>
      </c>
    </row>
    <row r="10" spans="1:6" x14ac:dyDescent="0.35">
      <c r="A10" s="12" t="s">
        <v>95</v>
      </c>
      <c r="B10" t="s">
        <v>96</v>
      </c>
      <c r="D10" t="s">
        <v>99</v>
      </c>
      <c r="E10" t="s">
        <v>100</v>
      </c>
      <c r="F10" t="s">
        <v>101</v>
      </c>
    </row>
    <row r="11" spans="1:6" x14ac:dyDescent="0.35">
      <c r="A11" s="12" t="s">
        <v>97</v>
      </c>
      <c r="B11">
        <v>100</v>
      </c>
      <c r="D11" t="s">
        <v>97</v>
      </c>
      <c r="E11" s="43">
        <f>$B11*(1-B$15)</f>
        <v>80</v>
      </c>
      <c r="F11" s="43">
        <f>$B11*(1-C$15)</f>
        <v>90</v>
      </c>
    </row>
    <row r="12" spans="1:6" x14ac:dyDescent="0.35">
      <c r="A12" s="12" t="s">
        <v>98</v>
      </c>
      <c r="B12">
        <v>50</v>
      </c>
      <c r="D12" t="s">
        <v>98</v>
      </c>
      <c r="E12" s="43">
        <f>$B12*(1-B$15)</f>
        <v>40</v>
      </c>
      <c r="F12" s="43">
        <f>$B12*(1-C$15)</f>
        <v>45</v>
      </c>
    </row>
    <row r="13" spans="1:6" x14ac:dyDescent="0.35">
      <c r="E13" s="43"/>
    </row>
    <row r="14" spans="1:6" x14ac:dyDescent="0.35">
      <c r="B14" t="s">
        <v>100</v>
      </c>
      <c r="C14" t="s">
        <v>101</v>
      </c>
    </row>
    <row r="15" spans="1:6" x14ac:dyDescent="0.35">
      <c r="A15" s="12" t="s">
        <v>102</v>
      </c>
      <c r="B15" s="42">
        <v>0.2</v>
      </c>
      <c r="C15" s="42">
        <v>0.1</v>
      </c>
    </row>
    <row r="18" spans="1:11" x14ac:dyDescent="0.35">
      <c r="A18" t="s">
        <v>105</v>
      </c>
      <c r="B18" t="s">
        <v>106</v>
      </c>
      <c r="C18" t="s">
        <v>107</v>
      </c>
      <c r="D18" t="s">
        <v>108</v>
      </c>
      <c r="E18" t="s">
        <v>109</v>
      </c>
      <c r="F18" t="s">
        <v>110</v>
      </c>
      <c r="G18" t="s">
        <v>111</v>
      </c>
      <c r="H18" t="s">
        <v>113</v>
      </c>
      <c r="I18" t="s">
        <v>103</v>
      </c>
      <c r="J18" t="s">
        <v>104</v>
      </c>
      <c r="K18" t="s">
        <v>112</v>
      </c>
    </row>
    <row r="19" spans="1:11" x14ac:dyDescent="0.35">
      <c r="F19">
        <v>45</v>
      </c>
      <c r="G19">
        <v>22</v>
      </c>
      <c r="H19">
        <v>33</v>
      </c>
      <c r="K19" s="45">
        <f>Score12[[#This Row],[Math marks]]+Score12[[#This Row],[Physics marks]]+Score12[[#This Row],[Chemistry marks]]</f>
        <v>100</v>
      </c>
    </row>
    <row r="20" spans="1:11" x14ac:dyDescent="0.35">
      <c r="F20">
        <v>56</v>
      </c>
      <c r="G20">
        <v>44</v>
      </c>
      <c r="H20">
        <v>45</v>
      </c>
      <c r="K20">
        <f>Score12[[#This Row],[Math marks]]+Score12[[#This Row],[Physics marks]]+Score12[[#This Row],[Chemistry marks]]</f>
        <v>145</v>
      </c>
    </row>
    <row r="21" spans="1:11" x14ac:dyDescent="0.35">
      <c r="F21">
        <v>78</v>
      </c>
      <c r="G21">
        <v>76</v>
      </c>
      <c r="H21">
        <v>67</v>
      </c>
      <c r="K21">
        <f>Score12[[#This Row],[Math marks]]+Score12[[#This Row],[Physics marks]]+Score12[[#This Row],[Chemistry marks]]</f>
        <v>221</v>
      </c>
    </row>
    <row r="22" spans="1:11" x14ac:dyDescent="0.35">
      <c r="F22">
        <v>99</v>
      </c>
      <c r="G22">
        <v>88</v>
      </c>
      <c r="H22">
        <v>89</v>
      </c>
      <c r="K22" s="46">
        <f>Score12[[#This Row],[Math marks]]+Score12[[#This Row],[Physics marks]]+Score12[[#This Row],[Chemistry marks]]</f>
        <v>276</v>
      </c>
    </row>
    <row r="23" spans="1:11" x14ac:dyDescent="0.35">
      <c r="F23">
        <v>22</v>
      </c>
      <c r="G23">
        <v>45</v>
      </c>
      <c r="H23" s="44">
        <v>12</v>
      </c>
      <c r="K23">
        <f>Score12[[#This Row],[Math marks]]+Score12[[#This Row],[Physics marks]]+Score12[[#This Row],[Chemistry marks]]</f>
        <v>79</v>
      </c>
    </row>
    <row r="24" spans="1:11" x14ac:dyDescent="0.35">
      <c r="F24">
        <v>34</v>
      </c>
      <c r="G24">
        <v>85</v>
      </c>
      <c r="H24">
        <v>44</v>
      </c>
      <c r="K24" s="44">
        <f>Score12[[#This Row],[Math marks]]+Score12[[#This Row],[Physics marks]]+Score12[[#This Row],[Chemistry marks]]</f>
        <v>163</v>
      </c>
    </row>
    <row r="25" spans="1:11" x14ac:dyDescent="0.35">
      <c r="F25">
        <v>76</v>
      </c>
      <c r="G25">
        <v>23</v>
      </c>
      <c r="H25" s="44">
        <v>55</v>
      </c>
      <c r="K25">
        <f>Score12[[#This Row],[Math marks]]+Score12[[#This Row],[Physics marks]]+Score12[[#This Row],[Chemistry marks]]</f>
        <v>154</v>
      </c>
    </row>
    <row r="26" spans="1:11" x14ac:dyDescent="0.35">
      <c r="F26">
        <v>99</v>
      </c>
      <c r="G26">
        <v>43</v>
      </c>
      <c r="H26">
        <v>66</v>
      </c>
      <c r="K26">
        <f>Score12[[#This Row],[Math marks]]+Score12[[#This Row],[Physics marks]]+Score12[[#This Row],[Chemistry marks]]</f>
        <v>208</v>
      </c>
    </row>
    <row r="27" spans="1:11" x14ac:dyDescent="0.35">
      <c r="F27">
        <v>12</v>
      </c>
      <c r="G27">
        <v>90</v>
      </c>
      <c r="H27">
        <v>56</v>
      </c>
      <c r="K27">
        <f>Score12[[#This Row],[Math marks]]+Score12[[#This Row],[Physics marks]]+Score12[[#This Row],[Chemistry marks]]</f>
        <v>158</v>
      </c>
    </row>
    <row r="28" spans="1:11" x14ac:dyDescent="0.35">
      <c r="F28">
        <v>45</v>
      </c>
      <c r="G28">
        <v>70</v>
      </c>
      <c r="H28">
        <v>77</v>
      </c>
      <c r="K28">
        <f>Score12[[#This Row],[Math marks]]+Score12[[#This Row],[Physics marks]]+Score12[[#This Row],[Chemistry marks]]</f>
        <v>192</v>
      </c>
    </row>
    <row r="29" spans="1:11" x14ac:dyDescent="0.35">
      <c r="F29">
        <v>22</v>
      </c>
      <c r="G29">
        <v>56</v>
      </c>
      <c r="H29">
        <v>88</v>
      </c>
      <c r="K29">
        <f>Score12[[#This Row],[Math marks]]+Score12[[#This Row],[Physics marks]]+Score12[[#This Row],[Chemistry marks]]</f>
        <v>166</v>
      </c>
    </row>
    <row r="30" spans="1:11" x14ac:dyDescent="0.35">
      <c r="F30">
        <v>44</v>
      </c>
      <c r="G30">
        <v>74</v>
      </c>
      <c r="H30">
        <v>27</v>
      </c>
      <c r="K30">
        <f>Score12[[#This Row],[Math marks]]+Score12[[#This Row],[Physics marks]]+Score12[[#This Row],[Chemistry marks]]</f>
        <v>145</v>
      </c>
    </row>
    <row r="31" spans="1:11" x14ac:dyDescent="0.35">
      <c r="A31" t="s">
        <v>114</v>
      </c>
      <c r="F31">
        <f>SUM(Score12[Math marks])</f>
        <v>632</v>
      </c>
      <c r="K31">
        <f>SUBTOTAL(109,Score12[Sum])</f>
        <v>2007</v>
      </c>
    </row>
    <row r="32" spans="1:11" x14ac:dyDescent="0.35">
      <c r="G32">
        <f>G19-SUM(G20:G21:G30)</f>
        <v>-672</v>
      </c>
    </row>
    <row r="35" spans="1:10" x14ac:dyDescent="0.35">
      <c r="A35" t="s">
        <v>115</v>
      </c>
      <c r="B35" t="s">
        <v>116</v>
      </c>
      <c r="C35" t="s">
        <v>108</v>
      </c>
      <c r="D35" t="s">
        <v>109</v>
      </c>
      <c r="E35" t="s">
        <v>117</v>
      </c>
      <c r="F35" t="s">
        <v>118</v>
      </c>
      <c r="G35" t="s">
        <v>119</v>
      </c>
      <c r="H35" t="s">
        <v>120</v>
      </c>
      <c r="I35" t="s">
        <v>121</v>
      </c>
      <c r="J35" t="s">
        <v>133</v>
      </c>
    </row>
    <row r="36" spans="1:10" x14ac:dyDescent="0.35">
      <c r="A36" t="s">
        <v>97</v>
      </c>
      <c r="B36" t="s">
        <v>122</v>
      </c>
      <c r="C36" t="s">
        <v>123</v>
      </c>
      <c r="D36" s="47">
        <v>37952</v>
      </c>
      <c r="E36">
        <v>23</v>
      </c>
      <c r="F36" s="49">
        <v>58</v>
      </c>
      <c r="G36">
        <v>21</v>
      </c>
      <c r="H36" t="s">
        <v>124</v>
      </c>
      <c r="I36" t="s">
        <v>125</v>
      </c>
    </row>
    <row r="37" spans="1:10" x14ac:dyDescent="0.35">
      <c r="A37" t="s">
        <v>97</v>
      </c>
      <c r="B37" t="s">
        <v>122</v>
      </c>
      <c r="C37" t="s">
        <v>126</v>
      </c>
      <c r="D37" s="47">
        <v>37097</v>
      </c>
      <c r="E37">
        <v>29</v>
      </c>
      <c r="F37" s="49">
        <v>56</v>
      </c>
      <c r="G37">
        <v>34</v>
      </c>
      <c r="H37" t="s">
        <v>124</v>
      </c>
      <c r="I37" t="s">
        <v>128</v>
      </c>
    </row>
    <row r="38" spans="1:10" x14ac:dyDescent="0.35">
      <c r="A38" t="s">
        <v>97</v>
      </c>
      <c r="B38" t="s">
        <v>122</v>
      </c>
      <c r="C38" t="s">
        <v>123</v>
      </c>
      <c r="D38" s="47">
        <v>37028</v>
      </c>
      <c r="E38">
        <v>57</v>
      </c>
      <c r="F38" s="49">
        <v>30</v>
      </c>
      <c r="G38">
        <v>15</v>
      </c>
      <c r="H38" t="s">
        <v>124</v>
      </c>
      <c r="I38" t="s">
        <v>125</v>
      </c>
    </row>
    <row r="39" spans="1:10" x14ac:dyDescent="0.35">
      <c r="A39" t="s">
        <v>97</v>
      </c>
      <c r="B39" t="s">
        <v>122</v>
      </c>
      <c r="C39" t="s">
        <v>126</v>
      </c>
      <c r="D39" s="47">
        <v>37823</v>
      </c>
      <c r="E39">
        <v>18</v>
      </c>
      <c r="F39" s="51">
        <v>56</v>
      </c>
      <c r="G39">
        <v>56</v>
      </c>
      <c r="H39" t="s">
        <v>124</v>
      </c>
      <c r="I39" t="s">
        <v>127</v>
      </c>
    </row>
    <row r="40" spans="1:10" x14ac:dyDescent="0.35">
      <c r="A40" t="s">
        <v>97</v>
      </c>
      <c r="B40" t="s">
        <v>122</v>
      </c>
      <c r="C40" t="s">
        <v>123</v>
      </c>
      <c r="D40" s="47">
        <v>37292</v>
      </c>
      <c r="E40">
        <v>18</v>
      </c>
      <c r="F40" s="48">
        <v>86</v>
      </c>
      <c r="G40">
        <v>48</v>
      </c>
      <c r="H40" t="s">
        <v>124</v>
      </c>
      <c r="I40" t="s">
        <v>125</v>
      </c>
    </row>
    <row r="41" spans="1:10" x14ac:dyDescent="0.35">
      <c r="A41" t="s">
        <v>97</v>
      </c>
      <c r="B41" t="s">
        <v>122</v>
      </c>
      <c r="C41" t="s">
        <v>123</v>
      </c>
      <c r="D41" s="50">
        <v>36823</v>
      </c>
      <c r="E41">
        <v>36</v>
      </c>
      <c r="F41" s="48">
        <v>76</v>
      </c>
      <c r="G41">
        <v>18</v>
      </c>
      <c r="H41" t="s">
        <v>124</v>
      </c>
      <c r="I41" t="s">
        <v>125</v>
      </c>
    </row>
    <row r="42" spans="1:10" x14ac:dyDescent="0.35">
      <c r="A42" t="s">
        <v>97</v>
      </c>
      <c r="B42" t="s">
        <v>122</v>
      </c>
      <c r="C42" t="s">
        <v>123</v>
      </c>
      <c r="D42" s="47">
        <v>37579</v>
      </c>
      <c r="E42">
        <v>43</v>
      </c>
      <c r="F42" s="51">
        <v>60</v>
      </c>
      <c r="G42">
        <v>12</v>
      </c>
      <c r="H42" t="s">
        <v>124</v>
      </c>
      <c r="I42" t="s">
        <v>125</v>
      </c>
    </row>
    <row r="43" spans="1:10" x14ac:dyDescent="0.35">
      <c r="A43" t="s">
        <v>97</v>
      </c>
      <c r="B43" t="s">
        <v>122</v>
      </c>
      <c r="C43" t="s">
        <v>123</v>
      </c>
      <c r="D43" s="47">
        <v>37181</v>
      </c>
      <c r="E43">
        <v>48</v>
      </c>
      <c r="F43" s="48">
        <v>23</v>
      </c>
      <c r="G43">
        <v>1</v>
      </c>
      <c r="H43" t="s">
        <v>124</v>
      </c>
      <c r="I43" t="s">
        <v>125</v>
      </c>
    </row>
    <row r="44" spans="1:10" x14ac:dyDescent="0.35">
      <c r="A44" t="s">
        <v>97</v>
      </c>
      <c r="B44" t="s">
        <v>122</v>
      </c>
      <c r="C44" t="s">
        <v>123</v>
      </c>
      <c r="D44" s="47">
        <v>36685</v>
      </c>
      <c r="E44">
        <v>73</v>
      </c>
      <c r="F44" s="51">
        <v>14</v>
      </c>
      <c r="G44">
        <v>86</v>
      </c>
      <c r="H44" t="s">
        <v>124</v>
      </c>
      <c r="I44" t="s">
        <v>125</v>
      </c>
    </row>
    <row r="45" spans="1:10" x14ac:dyDescent="0.35">
      <c r="A45" t="s">
        <v>97</v>
      </c>
      <c r="B45" t="s">
        <v>122</v>
      </c>
      <c r="C45" t="s">
        <v>123</v>
      </c>
      <c r="D45" s="47">
        <v>37646</v>
      </c>
      <c r="E45">
        <v>73</v>
      </c>
      <c r="F45" s="48">
        <v>62</v>
      </c>
      <c r="G45" s="49">
        <v>19</v>
      </c>
      <c r="H45" t="s">
        <v>124</v>
      </c>
      <c r="I45" t="s">
        <v>125</v>
      </c>
    </row>
    <row r="46" spans="1:10" x14ac:dyDescent="0.35">
      <c r="A46" t="s">
        <v>97</v>
      </c>
      <c r="B46" t="s">
        <v>122</v>
      </c>
      <c r="C46" t="s">
        <v>123</v>
      </c>
      <c r="D46" s="47">
        <v>36728</v>
      </c>
      <c r="E46">
        <v>79</v>
      </c>
      <c r="F46" s="48">
        <v>61</v>
      </c>
      <c r="G46">
        <v>93</v>
      </c>
      <c r="H46" t="s">
        <v>124</v>
      </c>
      <c r="I46" t="s">
        <v>125</v>
      </c>
    </row>
    <row r="47" spans="1:10" x14ac:dyDescent="0.35">
      <c r="A47" t="s">
        <v>97</v>
      </c>
      <c r="B47" t="s">
        <v>122</v>
      </c>
      <c r="C47" t="s">
        <v>123</v>
      </c>
      <c r="D47" s="47">
        <v>37139</v>
      </c>
      <c r="E47">
        <v>98</v>
      </c>
      <c r="F47" s="51">
        <v>44</v>
      </c>
      <c r="G47">
        <v>13</v>
      </c>
      <c r="H47" t="s">
        <v>124</v>
      </c>
      <c r="I47" t="s">
        <v>125</v>
      </c>
    </row>
    <row r="50" spans="2:10" x14ac:dyDescent="0.35">
      <c r="B50" t="s">
        <v>129</v>
      </c>
      <c r="C50" t="s">
        <v>130</v>
      </c>
      <c r="D50" s="52" t="s">
        <v>131</v>
      </c>
      <c r="E50" t="s">
        <v>132</v>
      </c>
    </row>
    <row r="51" spans="2:10" x14ac:dyDescent="0.35">
      <c r="B51">
        <v>5</v>
      </c>
      <c r="C51">
        <v>2</v>
      </c>
      <c r="D51">
        <v>2001</v>
      </c>
      <c r="E51" s="53"/>
    </row>
    <row r="52" spans="2:10" x14ac:dyDescent="0.35">
      <c r="B52">
        <v>17</v>
      </c>
      <c r="C52">
        <v>5</v>
      </c>
      <c r="D52">
        <v>2002</v>
      </c>
      <c r="E52" s="53">
        <f>DATE(D52,C52,B52)</f>
        <v>37393</v>
      </c>
    </row>
    <row r="53" spans="2:10" x14ac:dyDescent="0.35">
      <c r="B53">
        <v>23</v>
      </c>
      <c r="C53">
        <v>3</v>
      </c>
      <c r="D53">
        <v>1990</v>
      </c>
      <c r="E53" s="53">
        <f>DATE(D53,C53,B53)</f>
        <v>32955</v>
      </c>
    </row>
    <row r="54" spans="2:10" x14ac:dyDescent="0.35">
      <c r="B54">
        <v>5</v>
      </c>
      <c r="C54">
        <v>7</v>
      </c>
      <c r="D54">
        <v>2008</v>
      </c>
      <c r="E54" s="53">
        <f>DATE(D54,C54,B54)</f>
        <v>39634</v>
      </c>
    </row>
    <row r="55" spans="2:10" x14ac:dyDescent="0.35">
      <c r="B55">
        <v>17</v>
      </c>
      <c r="C55">
        <v>12</v>
      </c>
      <c r="D55">
        <v>1999</v>
      </c>
      <c r="E55" s="53"/>
    </row>
    <row r="57" spans="2:10" x14ac:dyDescent="0.35">
      <c r="G57" t="s">
        <v>138</v>
      </c>
      <c r="H57" t="s">
        <v>127</v>
      </c>
      <c r="I57" t="s">
        <v>139</v>
      </c>
      <c r="J57" t="s">
        <v>144</v>
      </c>
    </row>
    <row r="58" spans="2:10" x14ac:dyDescent="0.35">
      <c r="B58" t="s">
        <v>134</v>
      </c>
      <c r="C58" t="str">
        <f>IF(B58="pakistan","eligible","not eligible")</f>
        <v>not eligible</v>
      </c>
      <c r="G58" t="s">
        <v>97</v>
      </c>
      <c r="H58">
        <v>21</v>
      </c>
      <c r="I58">
        <v>34</v>
      </c>
      <c r="J58" t="str">
        <f>IF(Table15[[#This Row],[Maths]]&lt;40,"Fail","Pass")</f>
        <v>Fail</v>
      </c>
    </row>
    <row r="59" spans="2:10" x14ac:dyDescent="0.35">
      <c r="B59" t="s">
        <v>134</v>
      </c>
      <c r="C59" t="str">
        <f>IF(B59="pakistan","eligible","not eligible")</f>
        <v>not eligible</v>
      </c>
      <c r="G59" t="s">
        <v>98</v>
      </c>
      <c r="H59">
        <v>43</v>
      </c>
      <c r="I59">
        <v>56</v>
      </c>
      <c r="J59" t="str">
        <f>IF(Table15[[#This Row],[Maths]]&lt;40,"Fail","Pass")</f>
        <v>Pass</v>
      </c>
    </row>
    <row r="60" spans="2:10" x14ac:dyDescent="0.35">
      <c r="B60" t="s">
        <v>135</v>
      </c>
      <c r="C60" t="str">
        <f>IF(B60="pakistan","eligible","not eligible")</f>
        <v>eligible</v>
      </c>
      <c r="G60" t="s">
        <v>140</v>
      </c>
      <c r="H60">
        <v>54</v>
      </c>
      <c r="I60">
        <v>88</v>
      </c>
      <c r="J60" t="str">
        <f>IF(Table15[[#This Row],[Maths]]&lt;40,"Fail","Pass")</f>
        <v>Pass</v>
      </c>
    </row>
    <row r="61" spans="2:10" x14ac:dyDescent="0.35">
      <c r="B61" t="s">
        <v>136</v>
      </c>
      <c r="C61" t="str">
        <f>IF(B61="pakistan","eligible","not eligible")</f>
        <v>not eligible</v>
      </c>
      <c r="G61" t="s">
        <v>141</v>
      </c>
      <c r="H61">
        <v>65</v>
      </c>
      <c r="I61">
        <v>67</v>
      </c>
      <c r="J61" t="str">
        <f>IF(Table15[[#This Row],[Maths]]&lt;40,"Fail","Pass")</f>
        <v>Pass</v>
      </c>
    </row>
    <row r="62" spans="2:10" x14ac:dyDescent="0.35">
      <c r="B62" t="s">
        <v>137</v>
      </c>
      <c r="C62" t="str">
        <f>IF(B62="pakistan","eligible","not eligible")</f>
        <v>not eligible</v>
      </c>
      <c r="G62" t="s">
        <v>142</v>
      </c>
      <c r="H62">
        <v>23</v>
      </c>
      <c r="I62">
        <v>53</v>
      </c>
      <c r="J62" t="str">
        <f>IF(Table15[[#This Row],[Maths]]&lt;40,"Fail","Pass")</f>
        <v>Fail</v>
      </c>
    </row>
    <row r="63" spans="2:10" x14ac:dyDescent="0.35">
      <c r="G63" t="s">
        <v>143</v>
      </c>
      <c r="H63">
        <v>86</v>
      </c>
      <c r="I63">
        <v>70</v>
      </c>
      <c r="J63" t="str">
        <f>IF(Table15[[#This Row],[Maths]]&lt;40,"Fail","Pass")</f>
        <v>Pass</v>
      </c>
    </row>
    <row r="86" spans="2:8" ht="15" thickBot="1" x14ac:dyDescent="0.4"/>
    <row r="87" spans="2:8" ht="19" thickBot="1" x14ac:dyDescent="0.4">
      <c r="B87" s="54"/>
      <c r="C87" s="55" t="s">
        <v>145</v>
      </c>
      <c r="D87" s="55" t="s">
        <v>146</v>
      </c>
      <c r="E87" s="55" t="s">
        <v>147</v>
      </c>
      <c r="F87" s="55" t="s">
        <v>148</v>
      </c>
      <c r="G87" s="55" t="s">
        <v>114</v>
      </c>
    </row>
    <row r="88" spans="2:8" ht="19" thickBot="1" x14ac:dyDescent="0.5">
      <c r="B88" s="56" t="s">
        <v>149</v>
      </c>
      <c r="C88" s="57">
        <v>100</v>
      </c>
      <c r="D88" s="57">
        <v>200</v>
      </c>
      <c r="E88" s="57">
        <v>500</v>
      </c>
      <c r="F88" s="57">
        <v>300</v>
      </c>
      <c r="G88">
        <f>SUM(C88:F88)</f>
        <v>1100</v>
      </c>
      <c r="H88" s="58">
        <f>G88/$G$91</f>
        <v>0.4408817635270541</v>
      </c>
    </row>
    <row r="89" spans="2:8" ht="19" thickBot="1" x14ac:dyDescent="0.5">
      <c r="B89" s="56" t="s">
        <v>150</v>
      </c>
      <c r="C89" s="57">
        <v>150</v>
      </c>
      <c r="D89" s="57">
        <v>250</v>
      </c>
      <c r="E89" s="57">
        <v>140</v>
      </c>
      <c r="F89" s="57">
        <v>90</v>
      </c>
      <c r="G89">
        <f>SUM(C89:F89)</f>
        <v>630</v>
      </c>
      <c r="H89" s="58">
        <f>G89/$G$91</f>
        <v>0.25250501002004005</v>
      </c>
    </row>
    <row r="90" spans="2:8" ht="19" thickBot="1" x14ac:dyDescent="0.5">
      <c r="B90" s="56" t="s">
        <v>151</v>
      </c>
      <c r="C90" s="57">
        <v>230</v>
      </c>
      <c r="D90" s="57">
        <v>350</v>
      </c>
      <c r="E90" s="57">
        <v>100</v>
      </c>
      <c r="F90" s="57">
        <v>85</v>
      </c>
      <c r="G90">
        <f>SUM(C90:F90)</f>
        <v>765</v>
      </c>
      <c r="H90" s="58">
        <f>G90/$G$91</f>
        <v>0.30661322645290578</v>
      </c>
    </row>
    <row r="91" spans="2:8" x14ac:dyDescent="0.35">
      <c r="G91">
        <f>SUM(G88:G90)</f>
        <v>2495</v>
      </c>
    </row>
    <row r="93" spans="2:8" ht="15" thickBot="1" x14ac:dyDescent="0.4"/>
    <row r="94" spans="2:8" ht="19" thickBot="1" x14ac:dyDescent="0.4">
      <c r="B94" s="54"/>
      <c r="C94" s="55" t="s">
        <v>145</v>
      </c>
      <c r="D94" s="55" t="s">
        <v>146</v>
      </c>
      <c r="E94" s="55" t="s">
        <v>147</v>
      </c>
      <c r="F94" s="55" t="s">
        <v>148</v>
      </c>
    </row>
    <row r="95" spans="2:8" ht="19" thickBot="1" x14ac:dyDescent="0.5">
      <c r="B95" s="56" t="s">
        <v>149</v>
      </c>
      <c r="C95" s="60">
        <f t="shared" ref="C95:F97" si="0">C88/$G88</f>
        <v>9.0909090909090912E-2</v>
      </c>
      <c r="D95" s="60">
        <f t="shared" si="0"/>
        <v>0.18181818181818182</v>
      </c>
      <c r="E95" s="60">
        <f t="shared" si="0"/>
        <v>0.45454545454545453</v>
      </c>
      <c r="F95" s="60">
        <f t="shared" si="0"/>
        <v>0.27272727272727271</v>
      </c>
    </row>
    <row r="96" spans="2:8" ht="19" thickBot="1" x14ac:dyDescent="0.5">
      <c r="B96" s="56" t="s">
        <v>150</v>
      </c>
      <c r="C96" s="60">
        <f t="shared" si="0"/>
        <v>0.23809523809523808</v>
      </c>
      <c r="D96" s="60">
        <f t="shared" si="0"/>
        <v>0.3968253968253968</v>
      </c>
      <c r="E96" s="60">
        <f t="shared" si="0"/>
        <v>0.22222222222222221</v>
      </c>
      <c r="F96" s="60">
        <f t="shared" si="0"/>
        <v>0.14285714285714285</v>
      </c>
      <c r="H96" t="s">
        <v>152</v>
      </c>
    </row>
    <row r="97" spans="2:6" ht="37.5" thickBot="1" x14ac:dyDescent="0.5">
      <c r="B97" s="59" t="s">
        <v>151</v>
      </c>
      <c r="C97" s="60">
        <f t="shared" si="0"/>
        <v>0.30065359477124182</v>
      </c>
      <c r="D97" s="60">
        <f t="shared" si="0"/>
        <v>0.45751633986928103</v>
      </c>
      <c r="E97" s="60">
        <f t="shared" si="0"/>
        <v>0.13071895424836602</v>
      </c>
      <c r="F97" s="60">
        <f t="shared" si="0"/>
        <v>0.1111111111111111</v>
      </c>
    </row>
    <row r="100" spans="2:6" x14ac:dyDescent="0.35">
      <c r="B100">
        <v>50</v>
      </c>
    </row>
    <row r="101" spans="2:6" x14ac:dyDescent="0.35">
      <c r="B101">
        <v>60</v>
      </c>
    </row>
    <row r="102" spans="2:6" x14ac:dyDescent="0.35">
      <c r="B102">
        <v>30</v>
      </c>
    </row>
    <row r="104" spans="2:6" x14ac:dyDescent="0.35">
      <c r="B104">
        <f>B102+B101-B100/B102</f>
        <v>88.333333333333329</v>
      </c>
      <c r="D104" t="s">
        <v>153</v>
      </c>
    </row>
    <row r="106" spans="2:6" x14ac:dyDescent="0.35">
      <c r="B106" s="63" t="s">
        <v>154</v>
      </c>
      <c r="C106" s="63" t="s">
        <v>95</v>
      </c>
      <c r="D106" s="63" t="s">
        <v>3</v>
      </c>
      <c r="E106" s="63" t="s">
        <v>155</v>
      </c>
    </row>
    <row r="107" spans="2:6" x14ac:dyDescent="0.35">
      <c r="B107" s="62" t="s">
        <v>156</v>
      </c>
      <c r="C107" s="62" t="s">
        <v>157</v>
      </c>
      <c r="D107" s="62">
        <v>43313</v>
      </c>
      <c r="E107" s="62">
        <v>200</v>
      </c>
    </row>
    <row r="108" spans="2:6" x14ac:dyDescent="0.35">
      <c r="B108" s="62" t="s">
        <v>158</v>
      </c>
      <c r="C108" s="62" t="s">
        <v>159</v>
      </c>
      <c r="D108" s="62">
        <v>43313</v>
      </c>
      <c r="E108" s="62">
        <v>250</v>
      </c>
    </row>
    <row r="109" spans="2:6" x14ac:dyDescent="0.35">
      <c r="B109" s="62" t="s">
        <v>160</v>
      </c>
      <c r="C109" s="62" t="s">
        <v>161</v>
      </c>
      <c r="D109" s="62">
        <v>43405</v>
      </c>
      <c r="E109" s="64">
        <v>300</v>
      </c>
    </row>
    <row r="110" spans="2:6" x14ac:dyDescent="0.35">
      <c r="B110" s="62" t="s">
        <v>158</v>
      </c>
      <c r="C110" s="62" t="s">
        <v>157</v>
      </c>
      <c r="D110" s="62">
        <v>43375</v>
      </c>
      <c r="E110" s="65">
        <v>260</v>
      </c>
    </row>
    <row r="111" spans="2:6" x14ac:dyDescent="0.35">
      <c r="B111" s="62" t="s">
        <v>160</v>
      </c>
      <c r="C111" s="62" t="s">
        <v>162</v>
      </c>
      <c r="D111" s="62">
        <v>43375</v>
      </c>
      <c r="E111" s="62">
        <v>270</v>
      </c>
    </row>
    <row r="112" spans="2:6" x14ac:dyDescent="0.35">
      <c r="B112" s="62" t="s">
        <v>156</v>
      </c>
      <c r="C112" s="62" t="s">
        <v>157</v>
      </c>
      <c r="D112" s="62" t="s">
        <v>163</v>
      </c>
      <c r="E112" s="62">
        <v>280</v>
      </c>
    </row>
    <row r="113" spans="2:7" x14ac:dyDescent="0.35">
      <c r="B113" s="62" t="s">
        <v>158</v>
      </c>
      <c r="C113" s="62" t="s">
        <v>161</v>
      </c>
      <c r="D113" s="62">
        <v>42746</v>
      </c>
      <c r="E113" s="64">
        <v>100</v>
      </c>
    </row>
    <row r="114" spans="2:7" x14ac:dyDescent="0.35">
      <c r="B114" s="62" t="s">
        <v>158</v>
      </c>
      <c r="C114" s="62" t="s">
        <v>157</v>
      </c>
      <c r="D114" s="62">
        <v>42746</v>
      </c>
      <c r="E114" s="62">
        <v>500</v>
      </c>
    </row>
    <row r="115" spans="2:7" x14ac:dyDescent="0.35">
      <c r="B115" s="62" t="s">
        <v>156</v>
      </c>
      <c r="C115" s="62" t="s">
        <v>162</v>
      </c>
      <c r="D115" s="62">
        <v>42746</v>
      </c>
      <c r="E115" s="65">
        <v>410</v>
      </c>
    </row>
    <row r="116" spans="2:7" x14ac:dyDescent="0.35">
      <c r="B116" s="62" t="s">
        <v>158</v>
      </c>
      <c r="C116" s="62" t="s">
        <v>164</v>
      </c>
      <c r="D116" s="62" t="s">
        <v>163</v>
      </c>
      <c r="E116" s="62">
        <v>300</v>
      </c>
      <c r="G116" s="62" t="s">
        <v>165</v>
      </c>
    </row>
    <row r="117" spans="2:7" x14ac:dyDescent="0.35">
      <c r="B117" s="62" t="s">
        <v>160</v>
      </c>
      <c r="C117" s="62" t="s">
        <v>161</v>
      </c>
      <c r="D117" s="62" t="s">
        <v>163</v>
      </c>
      <c r="E117" s="64">
        <v>400</v>
      </c>
    </row>
    <row r="118" spans="2:7" x14ac:dyDescent="0.35">
      <c r="B118" s="62" t="s">
        <v>158</v>
      </c>
      <c r="C118" s="62" t="s">
        <v>159</v>
      </c>
      <c r="D118" s="62" t="s">
        <v>163</v>
      </c>
      <c r="E118" s="62">
        <v>100</v>
      </c>
    </row>
    <row r="119" spans="2:7" x14ac:dyDescent="0.35">
      <c r="B119" s="62" t="s">
        <v>158</v>
      </c>
      <c r="C119" s="62" t="s">
        <v>164</v>
      </c>
      <c r="D119" s="62">
        <v>43313</v>
      </c>
      <c r="E119" s="65">
        <v>401</v>
      </c>
    </row>
    <row r="120" spans="2:7" x14ac:dyDescent="0.35">
      <c r="B120" s="62" t="s">
        <v>160</v>
      </c>
      <c r="C120" s="62" t="s">
        <v>161</v>
      </c>
      <c r="D120" s="62">
        <v>43313</v>
      </c>
      <c r="E120" s="65">
        <v>430</v>
      </c>
    </row>
    <row r="121" spans="2:7" x14ac:dyDescent="0.35">
      <c r="B121" s="62" t="s">
        <v>158</v>
      </c>
      <c r="C121" s="62" t="s">
        <v>157</v>
      </c>
      <c r="D121" s="62">
        <v>43313</v>
      </c>
      <c r="E121" s="62">
        <v>285</v>
      </c>
    </row>
    <row r="122" spans="2:7" x14ac:dyDescent="0.35">
      <c r="B122" s="62" t="s">
        <v>160</v>
      </c>
      <c r="C122" s="62" t="s">
        <v>159</v>
      </c>
      <c r="D122" s="62">
        <v>43405</v>
      </c>
      <c r="E122" s="62">
        <v>344</v>
      </c>
    </row>
    <row r="123" spans="2:7" x14ac:dyDescent="0.35">
      <c r="B123" s="62" t="s">
        <v>158</v>
      </c>
      <c r="C123" s="62" t="s">
        <v>159</v>
      </c>
      <c r="D123" s="62">
        <v>43375</v>
      </c>
      <c r="E123" s="64">
        <v>304</v>
      </c>
    </row>
    <row r="124" spans="2:7" x14ac:dyDescent="0.35">
      <c r="B124" s="62" t="s">
        <v>158</v>
      </c>
      <c r="C124" s="62" t="s">
        <v>161</v>
      </c>
      <c r="D124" s="62">
        <v>43374</v>
      </c>
      <c r="E124" s="62">
        <v>431</v>
      </c>
    </row>
    <row r="125" spans="2:7" x14ac:dyDescent="0.35">
      <c r="B125" s="62" t="s">
        <v>160</v>
      </c>
      <c r="C125" s="62" t="s">
        <v>162</v>
      </c>
      <c r="D125" s="62">
        <v>43374</v>
      </c>
      <c r="E125" s="65">
        <v>298</v>
      </c>
    </row>
    <row r="126" spans="2:7" x14ac:dyDescent="0.35">
      <c r="B126" s="62" t="s">
        <v>158</v>
      </c>
      <c r="C126" s="62" t="s">
        <v>162</v>
      </c>
      <c r="D126" s="62">
        <v>43374</v>
      </c>
      <c r="E126" s="64">
        <v>258</v>
      </c>
    </row>
    <row r="127" spans="2:7" x14ac:dyDescent="0.35">
      <c r="B127" s="62" t="s">
        <v>158</v>
      </c>
      <c r="C127" s="62" t="s">
        <v>164</v>
      </c>
      <c r="D127" s="62">
        <v>43374</v>
      </c>
      <c r="E127" s="62">
        <v>251</v>
      </c>
    </row>
    <row r="128" spans="2:7" x14ac:dyDescent="0.35">
      <c r="B128" s="62" t="s">
        <v>158</v>
      </c>
      <c r="C128" s="62" t="s">
        <v>161</v>
      </c>
      <c r="D128" s="62">
        <v>43020</v>
      </c>
      <c r="E128" s="62">
        <v>260</v>
      </c>
    </row>
    <row r="129" spans="2:5" x14ac:dyDescent="0.35">
      <c r="B129" s="62" t="s">
        <v>160</v>
      </c>
      <c r="C129" s="62" t="s">
        <v>159</v>
      </c>
      <c r="D129" s="62">
        <v>43020</v>
      </c>
      <c r="E129" s="62">
        <v>415</v>
      </c>
    </row>
    <row r="130" spans="2:5" x14ac:dyDescent="0.35">
      <c r="B130" s="62" t="s">
        <v>158</v>
      </c>
      <c r="C130" s="62" t="s">
        <v>164</v>
      </c>
      <c r="D130" s="62">
        <v>43019</v>
      </c>
      <c r="E130" s="62">
        <v>266</v>
      </c>
    </row>
    <row r="131" spans="2:5" x14ac:dyDescent="0.35">
      <c r="B131" s="62" t="s">
        <v>158</v>
      </c>
      <c r="C131" s="62" t="s">
        <v>157</v>
      </c>
      <c r="D131" s="62">
        <v>43019</v>
      </c>
      <c r="E131" s="62">
        <v>425</v>
      </c>
    </row>
    <row r="132" spans="2:5" x14ac:dyDescent="0.35">
      <c r="B132" s="62" t="s">
        <v>160</v>
      </c>
      <c r="C132" s="62" t="s">
        <v>159</v>
      </c>
      <c r="D132" s="62">
        <v>43313</v>
      </c>
      <c r="E132" s="62">
        <v>429</v>
      </c>
    </row>
    <row r="135" spans="2:5" x14ac:dyDescent="0.35">
      <c r="B135" s="67" t="s">
        <v>154</v>
      </c>
      <c r="C135" s="67" t="s">
        <v>95</v>
      </c>
      <c r="D135" s="67" t="s">
        <v>3</v>
      </c>
      <c r="E135" s="67" t="s">
        <v>155</v>
      </c>
    </row>
    <row r="136" spans="2:5" hidden="1" x14ac:dyDescent="0.35">
      <c r="B136" s="62" t="s">
        <v>156</v>
      </c>
      <c r="C136" s="62" t="s">
        <v>157</v>
      </c>
      <c r="D136" s="66">
        <v>43313</v>
      </c>
      <c r="E136" s="69">
        <v>200</v>
      </c>
    </row>
    <row r="137" spans="2:5" hidden="1" x14ac:dyDescent="0.35">
      <c r="B137" s="62" t="s">
        <v>158</v>
      </c>
      <c r="C137" s="62" t="s">
        <v>159</v>
      </c>
      <c r="D137" s="66">
        <v>43313</v>
      </c>
      <c r="E137" s="62">
        <v>250</v>
      </c>
    </row>
    <row r="138" spans="2:5" hidden="1" x14ac:dyDescent="0.35">
      <c r="B138" s="62" t="s">
        <v>160</v>
      </c>
      <c r="C138" s="62" t="s">
        <v>161</v>
      </c>
      <c r="D138" s="66">
        <v>43405</v>
      </c>
      <c r="E138" s="68">
        <v>300</v>
      </c>
    </row>
    <row r="139" spans="2:5" hidden="1" x14ac:dyDescent="0.35">
      <c r="B139" s="62" t="s">
        <v>158</v>
      </c>
      <c r="C139" s="62" t="s">
        <v>157</v>
      </c>
      <c r="D139" s="66">
        <v>43375</v>
      </c>
      <c r="E139" s="62">
        <v>260</v>
      </c>
    </row>
    <row r="140" spans="2:5" hidden="1" x14ac:dyDescent="0.35">
      <c r="B140" s="62" t="s">
        <v>160</v>
      </c>
      <c r="C140" s="62" t="s">
        <v>162</v>
      </c>
      <c r="D140" s="66">
        <v>43375</v>
      </c>
      <c r="E140" s="69">
        <v>270</v>
      </c>
    </row>
    <row r="141" spans="2:5" hidden="1" x14ac:dyDescent="0.35">
      <c r="B141" s="62" t="s">
        <v>156</v>
      </c>
      <c r="C141" s="62" t="s">
        <v>157</v>
      </c>
      <c r="D141" s="66" t="s">
        <v>163</v>
      </c>
      <c r="E141" s="62">
        <v>280</v>
      </c>
    </row>
    <row r="142" spans="2:5" x14ac:dyDescent="0.35">
      <c r="B142" s="62" t="s">
        <v>158</v>
      </c>
      <c r="C142" s="62" t="s">
        <v>161</v>
      </c>
      <c r="D142" s="66">
        <v>42746</v>
      </c>
      <c r="E142" s="68">
        <v>100</v>
      </c>
    </row>
    <row r="143" spans="2:5" hidden="1" x14ac:dyDescent="0.35">
      <c r="B143" s="62" t="s">
        <v>158</v>
      </c>
      <c r="C143" s="62" t="s">
        <v>157</v>
      </c>
      <c r="D143" s="66">
        <v>42746</v>
      </c>
      <c r="E143" s="62">
        <v>500</v>
      </c>
    </row>
    <row r="144" spans="2:5" hidden="1" x14ac:dyDescent="0.35">
      <c r="B144" s="62" t="s">
        <v>156</v>
      </c>
      <c r="C144" s="62" t="s">
        <v>162</v>
      </c>
      <c r="D144" s="66">
        <v>42746</v>
      </c>
      <c r="E144" s="62">
        <v>410</v>
      </c>
    </row>
    <row r="145" spans="2:5" x14ac:dyDescent="0.35">
      <c r="B145" s="62" t="s">
        <v>158</v>
      </c>
      <c r="C145" s="62" t="s">
        <v>164</v>
      </c>
      <c r="D145" s="66" t="s">
        <v>163</v>
      </c>
      <c r="E145" s="69">
        <v>300</v>
      </c>
    </row>
    <row r="146" spans="2:5" hidden="1" x14ac:dyDescent="0.35">
      <c r="B146" s="62" t="s">
        <v>160</v>
      </c>
      <c r="C146" s="62" t="s">
        <v>161</v>
      </c>
      <c r="D146" s="66" t="s">
        <v>163</v>
      </c>
      <c r="E146" s="62">
        <v>400</v>
      </c>
    </row>
    <row r="147" spans="2:5" hidden="1" x14ac:dyDescent="0.35">
      <c r="B147" s="62" t="s">
        <v>158</v>
      </c>
      <c r="C147" s="62" t="s">
        <v>159</v>
      </c>
      <c r="D147" s="66" t="s">
        <v>163</v>
      </c>
      <c r="E147" s="68">
        <v>100</v>
      </c>
    </row>
    <row r="148" spans="2:5" x14ac:dyDescent="0.35">
      <c r="B148" s="62" t="s">
        <v>158</v>
      </c>
      <c r="C148" s="62" t="s">
        <v>164</v>
      </c>
      <c r="D148" s="66">
        <v>43313</v>
      </c>
      <c r="E148" s="62">
        <v>401</v>
      </c>
    </row>
    <row r="149" spans="2:5" hidden="1" x14ac:dyDescent="0.35">
      <c r="B149" s="62" t="s">
        <v>160</v>
      </c>
      <c r="C149" s="62" t="s">
        <v>161</v>
      </c>
      <c r="D149" s="66">
        <v>43313</v>
      </c>
      <c r="E149" s="62">
        <v>430</v>
      </c>
    </row>
    <row r="150" spans="2:5" hidden="1" x14ac:dyDescent="0.35">
      <c r="B150" s="62" t="s">
        <v>158</v>
      </c>
      <c r="C150" s="62" t="s">
        <v>157</v>
      </c>
      <c r="D150" s="66">
        <v>43313</v>
      </c>
      <c r="E150" s="69">
        <v>285</v>
      </c>
    </row>
    <row r="151" spans="2:5" hidden="1" x14ac:dyDescent="0.35">
      <c r="B151" s="62" t="s">
        <v>160</v>
      </c>
      <c r="C151" s="62" t="s">
        <v>159</v>
      </c>
      <c r="D151" s="66">
        <v>43405</v>
      </c>
      <c r="E151" s="62">
        <v>344</v>
      </c>
    </row>
    <row r="152" spans="2:5" hidden="1" x14ac:dyDescent="0.35">
      <c r="B152" s="62" t="s">
        <v>158</v>
      </c>
      <c r="C152" s="62" t="s">
        <v>159</v>
      </c>
      <c r="D152" s="66">
        <v>43375</v>
      </c>
      <c r="E152" s="62">
        <v>304</v>
      </c>
    </row>
    <row r="153" spans="2:5" x14ac:dyDescent="0.35">
      <c r="B153" s="62" t="s">
        <v>158</v>
      </c>
      <c r="C153" s="62" t="s">
        <v>161</v>
      </c>
      <c r="D153" s="66">
        <v>43374</v>
      </c>
      <c r="E153" s="68">
        <v>431</v>
      </c>
    </row>
    <row r="154" spans="2:5" hidden="1" x14ac:dyDescent="0.35">
      <c r="B154" s="62" t="s">
        <v>160</v>
      </c>
      <c r="C154" s="62" t="s">
        <v>162</v>
      </c>
      <c r="D154" s="66">
        <v>43374</v>
      </c>
      <c r="E154" s="62">
        <v>298</v>
      </c>
    </row>
    <row r="155" spans="2:5" hidden="1" x14ac:dyDescent="0.35">
      <c r="B155" s="62" t="s">
        <v>158</v>
      </c>
      <c r="C155" s="62" t="s">
        <v>162</v>
      </c>
      <c r="D155" s="66">
        <v>43374</v>
      </c>
      <c r="E155" s="62">
        <v>258</v>
      </c>
    </row>
    <row r="156" spans="2:5" x14ac:dyDescent="0.35">
      <c r="B156" s="62" t="s">
        <v>158</v>
      </c>
      <c r="C156" s="62" t="s">
        <v>164</v>
      </c>
      <c r="D156" s="66">
        <v>43374</v>
      </c>
      <c r="E156" s="69">
        <v>251</v>
      </c>
    </row>
    <row r="157" spans="2:5" x14ac:dyDescent="0.35">
      <c r="B157" s="62" t="s">
        <v>158</v>
      </c>
      <c r="C157" s="62" t="s">
        <v>161</v>
      </c>
      <c r="D157" s="66">
        <v>43020</v>
      </c>
      <c r="E157" s="62">
        <v>260</v>
      </c>
    </row>
    <row r="158" spans="2:5" hidden="1" x14ac:dyDescent="0.35">
      <c r="B158" s="62" t="s">
        <v>160</v>
      </c>
      <c r="C158" s="62" t="s">
        <v>159</v>
      </c>
      <c r="D158" s="66">
        <v>43020</v>
      </c>
      <c r="E158" s="68">
        <v>415</v>
      </c>
    </row>
    <row r="159" spans="2:5" x14ac:dyDescent="0.35">
      <c r="B159" s="62" t="s">
        <v>158</v>
      </c>
      <c r="C159" s="62" t="s">
        <v>164</v>
      </c>
      <c r="D159" s="66">
        <v>43019</v>
      </c>
      <c r="E159" s="62">
        <v>266</v>
      </c>
    </row>
    <row r="160" spans="2:5" hidden="1" x14ac:dyDescent="0.35">
      <c r="B160" s="62" t="s">
        <v>158</v>
      </c>
      <c r="C160" s="62" t="s">
        <v>157</v>
      </c>
      <c r="D160" s="66">
        <v>43019</v>
      </c>
      <c r="E160" s="69">
        <v>425</v>
      </c>
    </row>
    <row r="161" spans="1:7" hidden="1" x14ac:dyDescent="0.35">
      <c r="B161" s="62" t="s">
        <v>160</v>
      </c>
      <c r="C161" s="62" t="s">
        <v>159</v>
      </c>
      <c r="D161" s="66">
        <v>43313</v>
      </c>
      <c r="E161" s="62">
        <v>429</v>
      </c>
    </row>
    <row r="162" spans="1:7" x14ac:dyDescent="0.35">
      <c r="B162" s="62" t="s">
        <v>114</v>
      </c>
      <c r="C162" s="62">
        <f>SUBTOTAL(103,Table16[Product])</f>
        <v>7</v>
      </c>
      <c r="D162" s="62"/>
      <c r="E162" s="62">
        <f>SUBTOTAL(109,Table16[Sales Value])</f>
        <v>2009</v>
      </c>
    </row>
    <row r="163" spans="1:7" x14ac:dyDescent="0.35">
      <c r="F163" t="s">
        <v>166</v>
      </c>
      <c r="G163" t="s">
        <v>167</v>
      </c>
    </row>
    <row r="164" spans="1:7" x14ac:dyDescent="0.35">
      <c r="E164">
        <f>SUM(E136:E161)</f>
        <v>8167</v>
      </c>
      <c r="G164" t="s">
        <v>168</v>
      </c>
    </row>
    <row r="165" spans="1:7" x14ac:dyDescent="0.35">
      <c r="E165">
        <f>SUBTOTAL(9,E136:E161)</f>
        <v>2009</v>
      </c>
    </row>
    <row r="167" spans="1:7" ht="15" thickBot="1" x14ac:dyDescent="0.4"/>
    <row r="168" spans="1:7" ht="17.5" thickBot="1" x14ac:dyDescent="0.45">
      <c r="A168" s="145" t="s">
        <v>448</v>
      </c>
      <c r="B168" s="145" t="s">
        <v>253</v>
      </c>
      <c r="C168" s="145" t="s">
        <v>449</v>
      </c>
      <c r="D168" s="145" t="s">
        <v>450</v>
      </c>
      <c r="E168" s="145" t="s">
        <v>120</v>
      </c>
      <c r="F168" s="145" t="s">
        <v>254</v>
      </c>
    </row>
    <row r="169" spans="1:7" ht="15" thickBot="1" x14ac:dyDescent="0.4">
      <c r="A169" s="54" t="s">
        <v>451</v>
      </c>
      <c r="B169" s="54" t="s">
        <v>452</v>
      </c>
      <c r="C169" s="54" t="s">
        <v>453</v>
      </c>
      <c r="D169" s="54">
        <v>3</v>
      </c>
      <c r="E169" s="54" t="s">
        <v>454</v>
      </c>
      <c r="F169" s="54">
        <v>65000</v>
      </c>
    </row>
    <row r="170" spans="1:7" ht="15" thickBot="1" x14ac:dyDescent="0.4">
      <c r="A170" s="54" t="s">
        <v>455</v>
      </c>
      <c r="B170" s="54" t="s">
        <v>456</v>
      </c>
      <c r="C170" s="54" t="s">
        <v>457</v>
      </c>
      <c r="D170" s="54">
        <v>5</v>
      </c>
      <c r="E170" s="54" t="s">
        <v>458</v>
      </c>
      <c r="F170" s="54">
        <v>92000</v>
      </c>
    </row>
    <row r="171" spans="1:7" ht="15" thickBot="1" x14ac:dyDescent="0.4">
      <c r="A171" s="54" t="s">
        <v>459</v>
      </c>
      <c r="B171" s="54" t="s">
        <v>460</v>
      </c>
      <c r="C171" s="54" t="s">
        <v>461</v>
      </c>
      <c r="D171" s="54">
        <v>2</v>
      </c>
      <c r="E171" s="54" t="s">
        <v>462</v>
      </c>
      <c r="F171" s="54">
        <v>58000</v>
      </c>
    </row>
    <row r="172" spans="1:7" ht="15" thickBot="1" x14ac:dyDescent="0.4">
      <c r="A172" s="54" t="s">
        <v>463</v>
      </c>
      <c r="B172" s="54" t="s">
        <v>464</v>
      </c>
      <c r="C172" s="54" t="s">
        <v>465</v>
      </c>
      <c r="D172" s="54">
        <v>4</v>
      </c>
      <c r="E172" s="54" t="s">
        <v>454</v>
      </c>
      <c r="F172" s="54">
        <v>78000</v>
      </c>
    </row>
    <row r="173" spans="1:7" ht="15" thickBot="1" x14ac:dyDescent="0.4">
      <c r="A173" s="54" t="s">
        <v>466</v>
      </c>
      <c r="B173" s="54" t="s">
        <v>467</v>
      </c>
      <c r="C173" s="54" t="s">
        <v>468</v>
      </c>
      <c r="D173" s="54">
        <v>6</v>
      </c>
      <c r="E173" s="54" t="s">
        <v>469</v>
      </c>
      <c r="F173" s="54">
        <v>105000</v>
      </c>
    </row>
    <row r="174" spans="1:7" ht="15" thickBot="1" x14ac:dyDescent="0.4">
      <c r="A174" s="54" t="s">
        <v>470</v>
      </c>
      <c r="B174" s="54" t="s">
        <v>471</v>
      </c>
      <c r="C174" s="54" t="s">
        <v>472</v>
      </c>
      <c r="D174" s="54">
        <v>5</v>
      </c>
      <c r="E174" s="54" t="s">
        <v>458</v>
      </c>
      <c r="F174" s="54">
        <v>120000</v>
      </c>
    </row>
    <row r="175" spans="1:7" ht="15" thickBot="1" x14ac:dyDescent="0.4">
      <c r="A175" s="54" t="s">
        <v>473</v>
      </c>
      <c r="B175" s="54" t="s">
        <v>474</v>
      </c>
      <c r="C175" s="54" t="s">
        <v>475</v>
      </c>
      <c r="D175" s="54">
        <v>3</v>
      </c>
      <c r="E175" s="54" t="s">
        <v>462</v>
      </c>
      <c r="F175" s="54">
        <v>50000</v>
      </c>
    </row>
    <row r="176" spans="1:7" ht="15" thickBot="1" x14ac:dyDescent="0.4">
      <c r="A176" s="54" t="s">
        <v>476</v>
      </c>
      <c r="B176" s="54" t="s">
        <v>256</v>
      </c>
      <c r="C176" s="54" t="s">
        <v>477</v>
      </c>
      <c r="D176" s="54">
        <v>4</v>
      </c>
      <c r="E176" s="54" t="s">
        <v>478</v>
      </c>
      <c r="F176" s="54">
        <v>70000</v>
      </c>
    </row>
    <row r="177" spans="1:6" ht="15" thickBot="1" x14ac:dyDescent="0.4">
      <c r="A177" s="54" t="s">
        <v>479</v>
      </c>
      <c r="B177" s="54" t="s">
        <v>480</v>
      </c>
      <c r="C177" s="54" t="s">
        <v>481</v>
      </c>
      <c r="D177" s="54">
        <v>7</v>
      </c>
      <c r="E177" s="54" t="s">
        <v>454</v>
      </c>
      <c r="F177" s="54">
        <v>98000</v>
      </c>
    </row>
    <row r="178" spans="1:6" ht="15" thickBot="1" x14ac:dyDescent="0.4">
      <c r="A178" s="54" t="s">
        <v>482</v>
      </c>
      <c r="B178" s="54" t="s">
        <v>483</v>
      </c>
      <c r="C178" s="54" t="s">
        <v>484</v>
      </c>
      <c r="D178" s="54">
        <v>2</v>
      </c>
      <c r="E178" s="54" t="s">
        <v>485</v>
      </c>
      <c r="F178" s="54">
        <v>45000</v>
      </c>
    </row>
    <row r="182" spans="1:6" ht="21" x14ac:dyDescent="0.5">
      <c r="A182" s="151" t="s">
        <v>503</v>
      </c>
      <c r="B182" s="62"/>
      <c r="C182" s="62"/>
    </row>
    <row r="183" spans="1:6" ht="15" thickBot="1" x14ac:dyDescent="0.4">
      <c r="A183" s="62"/>
      <c r="B183" s="62"/>
      <c r="C183" s="62"/>
    </row>
    <row r="184" spans="1:6" ht="19" thickBot="1" x14ac:dyDescent="0.5">
      <c r="A184" s="152" t="s">
        <v>504</v>
      </c>
      <c r="B184" s="152" t="s">
        <v>505</v>
      </c>
      <c r="C184" s="152" t="s">
        <v>506</v>
      </c>
    </row>
    <row r="185" spans="1:6" ht="15" thickBot="1" x14ac:dyDescent="0.4">
      <c r="A185" s="54" t="s">
        <v>507</v>
      </c>
      <c r="B185" s="153">
        <v>0.27</v>
      </c>
      <c r="C185" s="54" t="s">
        <v>494</v>
      </c>
    </row>
    <row r="186" spans="1:6" ht="15" thickBot="1" x14ac:dyDescent="0.4">
      <c r="A186" s="54" t="s">
        <v>508</v>
      </c>
      <c r="B186" s="153">
        <v>0.25</v>
      </c>
      <c r="C186" s="54" t="s">
        <v>491</v>
      </c>
    </row>
    <row r="187" spans="1:6" ht="15" thickBot="1" x14ac:dyDescent="0.4">
      <c r="A187" s="54" t="s">
        <v>509</v>
      </c>
      <c r="B187" s="153">
        <v>0.25</v>
      </c>
      <c r="C187" s="54" t="s">
        <v>500</v>
      </c>
    </row>
    <row r="188" spans="1:6" ht="15" thickBot="1" x14ac:dyDescent="0.4">
      <c r="A188" s="54" t="s">
        <v>510</v>
      </c>
      <c r="B188" s="153">
        <v>0.25</v>
      </c>
      <c r="C188" s="54" t="s">
        <v>511</v>
      </c>
    </row>
    <row r="189" spans="1:6" ht="15" thickBot="1" x14ac:dyDescent="0.4">
      <c r="A189" s="54" t="s">
        <v>512</v>
      </c>
      <c r="B189" s="153">
        <v>0.25</v>
      </c>
      <c r="C189" s="54" t="s">
        <v>513</v>
      </c>
    </row>
    <row r="190" spans="1:6" ht="15" thickBot="1" x14ac:dyDescent="0.4">
      <c r="A190" s="54" t="s">
        <v>514</v>
      </c>
      <c r="B190" s="153">
        <v>0.24</v>
      </c>
      <c r="C190" s="54" t="s">
        <v>255</v>
      </c>
    </row>
    <row r="191" spans="1:6" ht="15" thickBot="1" x14ac:dyDescent="0.4">
      <c r="A191" s="54" t="s">
        <v>515</v>
      </c>
      <c r="B191" s="153">
        <v>0.24</v>
      </c>
      <c r="C191" s="54" t="s">
        <v>516</v>
      </c>
    </row>
    <row r="192" spans="1:6" ht="15" thickBot="1" x14ac:dyDescent="0.4">
      <c r="A192" s="54" t="s">
        <v>517</v>
      </c>
      <c r="B192" s="153">
        <v>0.23</v>
      </c>
      <c r="C192" s="54" t="s">
        <v>260</v>
      </c>
    </row>
    <row r="193" spans="1:3" ht="15" thickBot="1" x14ac:dyDescent="0.4">
      <c r="A193" s="54" t="s">
        <v>518</v>
      </c>
      <c r="B193" s="153">
        <v>0.23</v>
      </c>
      <c r="C193" s="54" t="s">
        <v>519</v>
      </c>
    </row>
    <row r="194" spans="1:3" ht="15" thickBot="1" x14ac:dyDescent="0.4">
      <c r="A194" s="54" t="s">
        <v>520</v>
      </c>
      <c r="B194" s="153">
        <v>0.21</v>
      </c>
      <c r="C194" s="54" t="s">
        <v>521</v>
      </c>
    </row>
    <row r="195" spans="1:3" ht="15" thickBot="1" x14ac:dyDescent="0.4">
      <c r="A195" s="54" t="s">
        <v>522</v>
      </c>
      <c r="B195" s="153">
        <v>0.2</v>
      </c>
      <c r="C195" s="54" t="s">
        <v>523</v>
      </c>
    </row>
    <row r="196" spans="1:3" ht="15" thickBot="1" x14ac:dyDescent="0.4">
      <c r="A196" s="54" t="s">
        <v>524</v>
      </c>
      <c r="B196" s="153">
        <v>0.19</v>
      </c>
      <c r="C196" s="54" t="s">
        <v>501</v>
      </c>
    </row>
    <row r="197" spans="1:3" ht="15" thickBot="1" x14ac:dyDescent="0.4">
      <c r="A197" s="54" t="s">
        <v>525</v>
      </c>
      <c r="B197" s="153">
        <v>0.18</v>
      </c>
      <c r="C197" s="54" t="s">
        <v>495</v>
      </c>
    </row>
    <row r="198" spans="1:3" ht="15" thickBot="1" x14ac:dyDescent="0.4">
      <c r="A198" s="54" t="s">
        <v>526</v>
      </c>
      <c r="B198" s="153">
        <v>0.18</v>
      </c>
      <c r="C198" s="54" t="s">
        <v>527</v>
      </c>
    </row>
    <row r="199" spans="1:3" ht="15" thickBot="1" x14ac:dyDescent="0.4">
      <c r="A199" s="54" t="s">
        <v>528</v>
      </c>
      <c r="B199" s="153">
        <v>0.17</v>
      </c>
      <c r="C199" s="54" t="s">
        <v>529</v>
      </c>
    </row>
    <row r="200" spans="1:3" ht="15" thickBot="1" x14ac:dyDescent="0.4">
      <c r="A200" s="54" t="s">
        <v>530</v>
      </c>
      <c r="B200" s="153">
        <v>0.14000000000000001</v>
      </c>
      <c r="C200" s="54" t="s">
        <v>259</v>
      </c>
    </row>
    <row r="201" spans="1:3" ht="15" thickBot="1" x14ac:dyDescent="0.4">
      <c r="A201" s="54" t="s">
        <v>531</v>
      </c>
      <c r="B201" s="153">
        <v>0.14000000000000001</v>
      </c>
      <c r="C201" s="54" t="s">
        <v>496</v>
      </c>
    </row>
    <row r="202" spans="1:3" ht="15" thickBot="1" x14ac:dyDescent="0.4">
      <c r="A202" s="54" t="s">
        <v>532</v>
      </c>
      <c r="B202" s="153">
        <v>0.1</v>
      </c>
      <c r="C202" s="54" t="s">
        <v>492</v>
      </c>
    </row>
    <row r="203" spans="1:3" ht="15" thickBot="1" x14ac:dyDescent="0.4">
      <c r="A203" s="54" t="s">
        <v>533</v>
      </c>
      <c r="B203" s="153">
        <v>0.1</v>
      </c>
      <c r="C203" s="54" t="s">
        <v>264</v>
      </c>
    </row>
    <row r="204" spans="1:3" ht="15" thickBot="1" x14ac:dyDescent="0.4">
      <c r="A204" s="54" t="s">
        <v>534</v>
      </c>
      <c r="B204" s="153">
        <v>0.09</v>
      </c>
      <c r="C204" s="54" t="s">
        <v>499</v>
      </c>
    </row>
    <row r="205" spans="1:3" ht="15" thickBot="1" x14ac:dyDescent="0.4">
      <c r="A205" s="54" t="s">
        <v>535</v>
      </c>
      <c r="B205" s="153">
        <v>0.09</v>
      </c>
      <c r="C205" s="54" t="s">
        <v>502</v>
      </c>
    </row>
    <row r="206" spans="1:3" ht="15" thickBot="1" x14ac:dyDescent="0.4">
      <c r="A206" s="54" t="s">
        <v>536</v>
      </c>
      <c r="B206" s="153">
        <v>0.08</v>
      </c>
      <c r="C206" s="54" t="s">
        <v>493</v>
      </c>
    </row>
    <row r="207" spans="1:3" ht="15" thickBot="1" x14ac:dyDescent="0.4">
      <c r="A207" s="54" t="s">
        <v>537</v>
      </c>
      <c r="B207" s="153">
        <v>0.06</v>
      </c>
      <c r="C207" s="54" t="s">
        <v>538</v>
      </c>
    </row>
    <row r="208" spans="1:3" ht="15" thickBot="1" x14ac:dyDescent="0.4">
      <c r="A208" s="54" t="s">
        <v>539</v>
      </c>
      <c r="B208" s="153">
        <v>0.06</v>
      </c>
      <c r="C208" s="54" t="s">
        <v>540</v>
      </c>
    </row>
    <row r="209" spans="1:3" ht="15" thickBot="1" x14ac:dyDescent="0.4">
      <c r="A209" s="54" t="s">
        <v>541</v>
      </c>
      <c r="B209" s="153">
        <v>0.06</v>
      </c>
      <c r="C209" s="54" t="s">
        <v>542</v>
      </c>
    </row>
  </sheetData>
  <phoneticPr fontId="24" type="noConversion"/>
  <pageMargins left="0.7" right="0.7" top="0.75" bottom="0.75" header="0.3" footer="0.3"/>
  <pageSetup paperSize="9" orientation="portrait" r:id="rId2"/>
  <drawing r:id="rId3"/>
  <tableParts count="4">
    <tablePart r:id="rId4"/>
    <tablePart r:id="rId5"/>
    <tablePart r:id="rId6"/>
    <tablePart r:id="rId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F20E-0F75-4F9F-985A-91C7145C5B15}">
  <dimension ref="A1:K277"/>
  <sheetViews>
    <sheetView topLeftCell="A262" workbookViewId="0">
      <selection activeCell="C265" sqref="C265"/>
    </sheetView>
  </sheetViews>
  <sheetFormatPr defaultColWidth="12.6328125" defaultRowHeight="14.5" x14ac:dyDescent="0.35"/>
  <cols>
    <col min="1" max="1" width="7.26953125" bestFit="1" customWidth="1"/>
    <col min="2" max="2" width="14.26953125" bestFit="1" customWidth="1"/>
    <col min="3" max="3" width="14.6328125" bestFit="1" customWidth="1"/>
    <col min="4" max="4" width="12.26953125" bestFit="1" customWidth="1"/>
    <col min="5" max="5" width="15.08984375" bestFit="1" customWidth="1"/>
    <col min="6" max="6" width="15.08984375" customWidth="1"/>
    <col min="7" max="7" width="7" bestFit="1" customWidth="1"/>
    <col min="8" max="8" width="7.36328125" bestFit="1" customWidth="1"/>
  </cols>
  <sheetData>
    <row r="1" spans="1:8" ht="26" x14ac:dyDescent="0.6">
      <c r="A1" s="71" t="s">
        <v>170</v>
      </c>
      <c r="H1" t="s">
        <v>155</v>
      </c>
    </row>
    <row r="2" spans="1:8" x14ac:dyDescent="0.35">
      <c r="H2" t="s">
        <v>171</v>
      </c>
    </row>
    <row r="5" spans="1:8" x14ac:dyDescent="0.35">
      <c r="A5" s="61" t="s">
        <v>154</v>
      </c>
      <c r="B5" s="61" t="s">
        <v>95</v>
      </c>
      <c r="C5" s="61" t="s">
        <v>3</v>
      </c>
      <c r="D5" s="61" t="s">
        <v>155</v>
      </c>
    </row>
    <row r="6" spans="1:8" x14ac:dyDescent="0.35">
      <c r="A6" s="62" t="s">
        <v>156</v>
      </c>
      <c r="B6" s="62" t="s">
        <v>157</v>
      </c>
      <c r="C6" s="70">
        <v>43313</v>
      </c>
      <c r="D6" s="62">
        <v>200</v>
      </c>
    </row>
    <row r="7" spans="1:8" x14ac:dyDescent="0.35">
      <c r="A7" s="62" t="s">
        <v>158</v>
      </c>
      <c r="B7" s="62" t="s">
        <v>159</v>
      </c>
      <c r="C7" s="70">
        <v>43313</v>
      </c>
      <c r="D7" s="62">
        <v>250</v>
      </c>
    </row>
    <row r="8" spans="1:8" x14ac:dyDescent="0.35">
      <c r="A8" s="62" t="s">
        <v>160</v>
      </c>
      <c r="B8" s="62" t="s">
        <v>161</v>
      </c>
      <c r="C8" s="70">
        <v>43405</v>
      </c>
      <c r="D8" s="62">
        <v>300</v>
      </c>
    </row>
    <row r="9" spans="1:8" x14ac:dyDescent="0.35">
      <c r="A9" s="62" t="s">
        <v>158</v>
      </c>
      <c r="B9" s="62" t="s">
        <v>157</v>
      </c>
      <c r="C9" s="70">
        <v>43375</v>
      </c>
      <c r="D9" s="62">
        <v>260</v>
      </c>
    </row>
    <row r="10" spans="1:8" x14ac:dyDescent="0.35">
      <c r="A10" s="62" t="s">
        <v>160</v>
      </c>
      <c r="B10" s="62" t="s">
        <v>162</v>
      </c>
      <c r="C10" s="70">
        <v>43375</v>
      </c>
      <c r="D10" s="62">
        <v>270</v>
      </c>
    </row>
    <row r="11" spans="1:8" x14ac:dyDescent="0.35">
      <c r="A11" s="62" t="s">
        <v>156</v>
      </c>
      <c r="B11" s="62" t="s">
        <v>157</v>
      </c>
      <c r="C11" s="70" t="s">
        <v>163</v>
      </c>
      <c r="D11" s="62">
        <v>280</v>
      </c>
      <c r="H11" t="s">
        <v>169</v>
      </c>
    </row>
    <row r="12" spans="1:8" x14ac:dyDescent="0.35">
      <c r="A12" s="62" t="s">
        <v>158</v>
      </c>
      <c r="B12" s="62" t="s">
        <v>161</v>
      </c>
      <c r="C12" s="70">
        <v>42746</v>
      </c>
      <c r="D12" s="62">
        <v>100</v>
      </c>
    </row>
    <row r="13" spans="1:8" x14ac:dyDescent="0.35">
      <c r="A13" s="62" t="s">
        <v>158</v>
      </c>
      <c r="B13" s="62" t="s">
        <v>157</v>
      </c>
      <c r="C13" s="70">
        <v>42746</v>
      </c>
      <c r="D13" s="62">
        <v>500</v>
      </c>
    </row>
    <row r="14" spans="1:8" x14ac:dyDescent="0.35">
      <c r="A14" s="62" t="s">
        <v>156</v>
      </c>
      <c r="B14" s="62" t="s">
        <v>162</v>
      </c>
      <c r="C14" s="70">
        <v>42746</v>
      </c>
      <c r="D14" s="62">
        <v>410</v>
      </c>
    </row>
    <row r="15" spans="1:8" x14ac:dyDescent="0.35">
      <c r="A15" s="62" t="s">
        <v>158</v>
      </c>
      <c r="B15" s="62" t="s">
        <v>164</v>
      </c>
      <c r="C15" s="70" t="s">
        <v>163</v>
      </c>
      <c r="D15" s="62">
        <v>300</v>
      </c>
    </row>
    <row r="16" spans="1:8" x14ac:dyDescent="0.35">
      <c r="A16" s="62" t="s">
        <v>160</v>
      </c>
      <c r="B16" s="62" t="s">
        <v>161</v>
      </c>
      <c r="C16" s="70" t="s">
        <v>163</v>
      </c>
      <c r="D16" s="62">
        <v>400</v>
      </c>
    </row>
    <row r="17" spans="1:4" x14ac:dyDescent="0.35">
      <c r="A17" s="62" t="s">
        <v>158</v>
      </c>
      <c r="B17" s="62" t="s">
        <v>159</v>
      </c>
      <c r="C17" s="70" t="s">
        <v>163</v>
      </c>
      <c r="D17" s="62">
        <v>100</v>
      </c>
    </row>
    <row r="18" spans="1:4" x14ac:dyDescent="0.35">
      <c r="A18" s="62" t="s">
        <v>158</v>
      </c>
      <c r="B18" s="62" t="s">
        <v>164</v>
      </c>
      <c r="C18" s="70">
        <v>43313</v>
      </c>
      <c r="D18" s="62">
        <v>401</v>
      </c>
    </row>
    <row r="19" spans="1:4" x14ac:dyDescent="0.35">
      <c r="A19" s="62" t="s">
        <v>160</v>
      </c>
      <c r="B19" s="62" t="s">
        <v>161</v>
      </c>
      <c r="C19" s="70">
        <v>43313</v>
      </c>
      <c r="D19" s="62">
        <v>430</v>
      </c>
    </row>
    <row r="20" spans="1:4" x14ac:dyDescent="0.35">
      <c r="A20" s="62" t="s">
        <v>158</v>
      </c>
      <c r="B20" s="62" t="s">
        <v>157</v>
      </c>
      <c r="C20" s="70">
        <v>43313</v>
      </c>
      <c r="D20" s="62">
        <v>285</v>
      </c>
    </row>
    <row r="21" spans="1:4" x14ac:dyDescent="0.35">
      <c r="A21" s="62" t="s">
        <v>160</v>
      </c>
      <c r="B21" s="62" t="s">
        <v>159</v>
      </c>
      <c r="C21" s="70">
        <v>43405</v>
      </c>
      <c r="D21" s="62">
        <v>344</v>
      </c>
    </row>
    <row r="22" spans="1:4" x14ac:dyDescent="0.35">
      <c r="A22" s="62" t="s">
        <v>158</v>
      </c>
      <c r="B22" s="62" t="s">
        <v>159</v>
      </c>
      <c r="C22" s="70">
        <v>43375</v>
      </c>
      <c r="D22" s="62">
        <v>304</v>
      </c>
    </row>
    <row r="23" spans="1:4" x14ac:dyDescent="0.35">
      <c r="A23" s="62" t="s">
        <v>158</v>
      </c>
      <c r="B23" s="62" t="s">
        <v>161</v>
      </c>
      <c r="C23" s="70">
        <v>43374</v>
      </c>
      <c r="D23" s="62">
        <v>431</v>
      </c>
    </row>
    <row r="24" spans="1:4" x14ac:dyDescent="0.35">
      <c r="A24" s="62" t="s">
        <v>160</v>
      </c>
      <c r="B24" s="62" t="s">
        <v>162</v>
      </c>
      <c r="C24" s="70">
        <v>43374</v>
      </c>
      <c r="D24" s="62">
        <v>298</v>
      </c>
    </row>
    <row r="25" spans="1:4" x14ac:dyDescent="0.35">
      <c r="A25" s="62" t="s">
        <v>158</v>
      </c>
      <c r="B25" s="62" t="s">
        <v>162</v>
      </c>
      <c r="C25" s="70">
        <v>43374</v>
      </c>
      <c r="D25" s="62">
        <v>258</v>
      </c>
    </row>
    <row r="26" spans="1:4" x14ac:dyDescent="0.35">
      <c r="A26" s="62" t="s">
        <v>158</v>
      </c>
      <c r="B26" s="62" t="s">
        <v>164</v>
      </c>
      <c r="C26" s="70">
        <v>43374</v>
      </c>
      <c r="D26" s="62">
        <v>251</v>
      </c>
    </row>
    <row r="27" spans="1:4" x14ac:dyDescent="0.35">
      <c r="A27" s="62" t="s">
        <v>158</v>
      </c>
      <c r="B27" s="62" t="s">
        <v>161</v>
      </c>
      <c r="C27" s="70">
        <v>43020</v>
      </c>
      <c r="D27" s="62">
        <v>260</v>
      </c>
    </row>
    <row r="28" spans="1:4" x14ac:dyDescent="0.35">
      <c r="A28" s="62" t="s">
        <v>160</v>
      </c>
      <c r="B28" s="62" t="s">
        <v>159</v>
      </c>
      <c r="C28" s="70">
        <v>43020</v>
      </c>
      <c r="D28" s="62">
        <v>415</v>
      </c>
    </row>
    <row r="29" spans="1:4" x14ac:dyDescent="0.35">
      <c r="A29" s="62" t="s">
        <v>158</v>
      </c>
      <c r="B29" s="62" t="s">
        <v>164</v>
      </c>
      <c r="C29" s="70">
        <v>43019</v>
      </c>
      <c r="D29" s="62">
        <v>266</v>
      </c>
    </row>
    <row r="30" spans="1:4" x14ac:dyDescent="0.35">
      <c r="A30" s="62" t="s">
        <v>158</v>
      </c>
      <c r="B30" s="62" t="s">
        <v>157</v>
      </c>
      <c r="C30" s="70">
        <v>43019</v>
      </c>
      <c r="D30" s="62">
        <v>425</v>
      </c>
    </row>
    <row r="31" spans="1:4" x14ac:dyDescent="0.35">
      <c r="A31" s="62" t="s">
        <v>160</v>
      </c>
      <c r="B31" s="62" t="s">
        <v>159</v>
      </c>
      <c r="C31" s="70">
        <v>43313</v>
      </c>
      <c r="D31" s="62">
        <v>429</v>
      </c>
    </row>
    <row r="34" spans="1:4" ht="18.5" x14ac:dyDescent="0.45">
      <c r="A34" s="72" t="s">
        <v>172</v>
      </c>
    </row>
    <row r="36" spans="1:4" x14ac:dyDescent="0.35">
      <c r="A36" s="74" t="s">
        <v>173</v>
      </c>
      <c r="B36" s="74" t="s">
        <v>174</v>
      </c>
      <c r="C36" s="74" t="s">
        <v>175</v>
      </c>
      <c r="D36" s="74" t="s">
        <v>176</v>
      </c>
    </row>
    <row r="37" spans="1:4" x14ac:dyDescent="0.35">
      <c r="A37" t="s">
        <v>182</v>
      </c>
      <c r="B37" t="s">
        <v>178</v>
      </c>
      <c r="C37" t="s">
        <v>183</v>
      </c>
      <c r="D37" s="73">
        <v>3155</v>
      </c>
    </row>
    <row r="38" spans="1:4" x14ac:dyDescent="0.35">
      <c r="A38" t="s">
        <v>182</v>
      </c>
      <c r="B38" t="s">
        <v>180</v>
      </c>
      <c r="C38" t="s">
        <v>185</v>
      </c>
      <c r="D38" s="73">
        <v>8132</v>
      </c>
    </row>
    <row r="39" spans="1:4" x14ac:dyDescent="0.35">
      <c r="A39" t="s">
        <v>182</v>
      </c>
      <c r="B39" t="s">
        <v>187</v>
      </c>
      <c r="C39" t="s">
        <v>183</v>
      </c>
      <c r="D39" s="73">
        <v>8532</v>
      </c>
    </row>
    <row r="40" spans="1:4" x14ac:dyDescent="0.35">
      <c r="A40" t="s">
        <v>182</v>
      </c>
      <c r="B40" t="s">
        <v>189</v>
      </c>
      <c r="C40" t="s">
        <v>184</v>
      </c>
      <c r="D40" s="73">
        <v>28523</v>
      </c>
    </row>
    <row r="41" spans="1:4" x14ac:dyDescent="0.35">
      <c r="A41" t="s">
        <v>182</v>
      </c>
      <c r="B41" t="s">
        <v>189</v>
      </c>
      <c r="C41" t="s">
        <v>183</v>
      </c>
      <c r="D41" s="73">
        <v>46652</v>
      </c>
    </row>
    <row r="42" spans="1:4" x14ac:dyDescent="0.35">
      <c r="A42" t="s">
        <v>182</v>
      </c>
      <c r="B42" t="s">
        <v>180</v>
      </c>
      <c r="C42" t="s">
        <v>183</v>
      </c>
      <c r="D42" s="73">
        <v>47296</v>
      </c>
    </row>
    <row r="43" spans="1:4" x14ac:dyDescent="0.35">
      <c r="A43" t="s">
        <v>182</v>
      </c>
      <c r="B43" t="s">
        <v>178</v>
      </c>
      <c r="C43" t="s">
        <v>184</v>
      </c>
      <c r="D43" s="73">
        <v>49144</v>
      </c>
    </row>
    <row r="44" spans="1:4" x14ac:dyDescent="0.35">
      <c r="A44" t="s">
        <v>182</v>
      </c>
      <c r="B44" t="s">
        <v>178</v>
      </c>
      <c r="C44" t="s">
        <v>185</v>
      </c>
      <c r="D44" s="73">
        <v>49988</v>
      </c>
    </row>
    <row r="45" spans="1:4" x14ac:dyDescent="0.35">
      <c r="A45" t="s">
        <v>177</v>
      </c>
      <c r="B45" t="s">
        <v>180</v>
      </c>
      <c r="C45" t="s">
        <v>179</v>
      </c>
      <c r="D45" s="73">
        <v>3000</v>
      </c>
    </row>
    <row r="46" spans="1:4" x14ac:dyDescent="0.35">
      <c r="A46" t="s">
        <v>177</v>
      </c>
      <c r="B46" t="s">
        <v>187</v>
      </c>
      <c r="C46" t="s">
        <v>186</v>
      </c>
      <c r="D46" s="73">
        <v>13500</v>
      </c>
    </row>
    <row r="47" spans="1:4" x14ac:dyDescent="0.35">
      <c r="A47" t="s">
        <v>177</v>
      </c>
      <c r="B47" t="s">
        <v>189</v>
      </c>
      <c r="C47" t="s">
        <v>179</v>
      </c>
      <c r="D47" s="73">
        <v>20898</v>
      </c>
    </row>
    <row r="48" spans="1:4" x14ac:dyDescent="0.35">
      <c r="A48" t="s">
        <v>177</v>
      </c>
      <c r="B48" t="s">
        <v>188</v>
      </c>
      <c r="C48" t="s">
        <v>186</v>
      </c>
      <c r="D48" s="73">
        <v>34196</v>
      </c>
    </row>
    <row r="49" spans="1:4" x14ac:dyDescent="0.35">
      <c r="A49" t="s">
        <v>177</v>
      </c>
      <c r="B49" t="s">
        <v>178</v>
      </c>
      <c r="C49" t="s">
        <v>179</v>
      </c>
      <c r="D49" s="73">
        <v>40000</v>
      </c>
    </row>
    <row r="50" spans="1:4" x14ac:dyDescent="0.35">
      <c r="A50" t="s">
        <v>177</v>
      </c>
      <c r="B50" t="s">
        <v>180</v>
      </c>
      <c r="C50" t="s">
        <v>181</v>
      </c>
      <c r="D50" s="73">
        <v>46994</v>
      </c>
    </row>
    <row r="51" spans="1:4" x14ac:dyDescent="0.35">
      <c r="A51" t="s">
        <v>177</v>
      </c>
      <c r="B51" t="s">
        <v>180</v>
      </c>
      <c r="C51" t="s">
        <v>186</v>
      </c>
      <c r="D51" s="73">
        <v>90530</v>
      </c>
    </row>
    <row r="52" spans="1:4" x14ac:dyDescent="0.35">
      <c r="A52" t="s">
        <v>190</v>
      </c>
      <c r="B52" t="s">
        <v>189</v>
      </c>
      <c r="C52" t="s">
        <v>194</v>
      </c>
      <c r="D52" s="73">
        <v>2116</v>
      </c>
    </row>
    <row r="53" spans="1:4" x14ac:dyDescent="0.35">
      <c r="A53" t="s">
        <v>190</v>
      </c>
      <c r="B53" t="s">
        <v>178</v>
      </c>
      <c r="C53" t="s">
        <v>194</v>
      </c>
      <c r="D53" s="73">
        <v>13596</v>
      </c>
    </row>
    <row r="54" spans="1:4" x14ac:dyDescent="0.35">
      <c r="A54" t="s">
        <v>190</v>
      </c>
      <c r="B54" t="s">
        <v>189</v>
      </c>
      <c r="C54" t="s">
        <v>193</v>
      </c>
      <c r="D54" s="73">
        <v>18524</v>
      </c>
    </row>
    <row r="55" spans="1:4" x14ac:dyDescent="0.35">
      <c r="A55" t="s">
        <v>190</v>
      </c>
      <c r="B55" t="s">
        <v>189</v>
      </c>
      <c r="C55" t="s">
        <v>192</v>
      </c>
      <c r="D55" s="73">
        <v>42569</v>
      </c>
    </row>
    <row r="56" spans="1:4" x14ac:dyDescent="0.35">
      <c r="A56" t="s">
        <v>190</v>
      </c>
      <c r="B56" t="s">
        <v>178</v>
      </c>
      <c r="C56" t="s">
        <v>191</v>
      </c>
      <c r="D56" s="73">
        <v>44675</v>
      </c>
    </row>
    <row r="62" spans="1:4" ht="21" x14ac:dyDescent="0.5">
      <c r="A62" s="75" t="s">
        <v>252</v>
      </c>
    </row>
    <row r="64" spans="1:4" x14ac:dyDescent="0.35">
      <c r="A64" s="61" t="s">
        <v>138</v>
      </c>
      <c r="B64" s="61" t="s">
        <v>253</v>
      </c>
      <c r="C64" s="61" t="s">
        <v>254</v>
      </c>
    </row>
    <row r="65" spans="1:4" x14ac:dyDescent="0.35">
      <c r="A65" s="62" t="s">
        <v>255</v>
      </c>
      <c r="B65" s="62" t="s">
        <v>256</v>
      </c>
      <c r="C65" s="76">
        <v>60270</v>
      </c>
    </row>
    <row r="66" spans="1:4" x14ac:dyDescent="0.35">
      <c r="A66" s="62" t="s">
        <v>257</v>
      </c>
      <c r="B66" s="62" t="s">
        <v>258</v>
      </c>
      <c r="C66" s="76">
        <v>39627</v>
      </c>
    </row>
    <row r="67" spans="1:4" x14ac:dyDescent="0.35">
      <c r="A67" s="62" t="s">
        <v>259</v>
      </c>
      <c r="B67" s="62" t="s">
        <v>256</v>
      </c>
      <c r="C67" s="76">
        <v>29727</v>
      </c>
    </row>
    <row r="68" spans="1:4" x14ac:dyDescent="0.35">
      <c r="A68" s="62" t="s">
        <v>260</v>
      </c>
      <c r="B68" s="62" t="s">
        <v>258</v>
      </c>
      <c r="C68" s="76">
        <v>93668</v>
      </c>
    </row>
    <row r="69" spans="1:4" x14ac:dyDescent="0.35">
      <c r="A69" s="62" t="s">
        <v>261</v>
      </c>
      <c r="B69" s="62" t="s">
        <v>256</v>
      </c>
      <c r="C69" s="76">
        <v>134000</v>
      </c>
    </row>
    <row r="70" spans="1:4" x14ac:dyDescent="0.35">
      <c r="A70" s="62" t="s">
        <v>262</v>
      </c>
      <c r="B70" s="62" t="s">
        <v>258</v>
      </c>
      <c r="C70" s="76">
        <v>34808</v>
      </c>
    </row>
    <row r="71" spans="1:4" x14ac:dyDescent="0.35">
      <c r="A71" s="62" t="s">
        <v>263</v>
      </c>
      <c r="B71" s="62" t="s">
        <v>258</v>
      </c>
      <c r="C71" s="76">
        <v>134468</v>
      </c>
    </row>
    <row r="72" spans="1:4" x14ac:dyDescent="0.35">
      <c r="A72" s="62" t="s">
        <v>264</v>
      </c>
      <c r="B72" s="62" t="s">
        <v>265</v>
      </c>
      <c r="C72" s="76">
        <v>45000</v>
      </c>
    </row>
    <row r="73" spans="1:4" x14ac:dyDescent="0.35">
      <c r="B73" s="62"/>
    </row>
    <row r="74" spans="1:4" x14ac:dyDescent="0.35">
      <c r="B74" s="62" t="s">
        <v>266</v>
      </c>
      <c r="C74" s="73">
        <f>SUM(C65:C72)</f>
        <v>571568</v>
      </c>
    </row>
    <row r="75" spans="1:4" x14ac:dyDescent="0.35">
      <c r="B75" s="62" t="s">
        <v>267</v>
      </c>
      <c r="C75" s="73">
        <f>AVERAGE(C65:C72)</f>
        <v>71446</v>
      </c>
    </row>
    <row r="76" spans="1:4" x14ac:dyDescent="0.35">
      <c r="B76" s="62" t="s">
        <v>268</v>
      </c>
      <c r="C76">
        <f>COUNT(C65:C72)</f>
        <v>8</v>
      </c>
      <c r="D76" t="s">
        <v>270</v>
      </c>
    </row>
    <row r="77" spans="1:4" x14ac:dyDescent="0.35">
      <c r="B77" s="62" t="s">
        <v>269</v>
      </c>
      <c r="C77">
        <f>COUNTA(A65:A72)</f>
        <v>8</v>
      </c>
      <c r="D77" t="s">
        <v>271</v>
      </c>
    </row>
    <row r="78" spans="1:4" x14ac:dyDescent="0.35">
      <c r="B78" s="62" t="s">
        <v>272</v>
      </c>
      <c r="C78" s="73">
        <f>MIN(C65:C72)</f>
        <v>29727</v>
      </c>
    </row>
    <row r="79" spans="1:4" x14ac:dyDescent="0.35">
      <c r="B79" s="62" t="s">
        <v>273</v>
      </c>
      <c r="C79" s="73">
        <f>MAX(C65:C72)</f>
        <v>134468</v>
      </c>
    </row>
    <row r="80" spans="1:4" ht="43.5" x14ac:dyDescent="0.35">
      <c r="B80" s="77" t="s">
        <v>274</v>
      </c>
      <c r="C80">
        <f>AVERAGEIFS(C65:C72,B65:B72,"Sales")</f>
        <v>75642.75</v>
      </c>
    </row>
    <row r="82" spans="1:6" ht="15.5" x14ac:dyDescent="0.35">
      <c r="A82" s="134" t="s">
        <v>346</v>
      </c>
    </row>
    <row r="84" spans="1:6" x14ac:dyDescent="0.35">
      <c r="A84" t="s">
        <v>348</v>
      </c>
      <c r="B84" t="s">
        <v>349</v>
      </c>
      <c r="C84" t="s">
        <v>350</v>
      </c>
      <c r="D84" t="s">
        <v>351</v>
      </c>
      <c r="E84" t="s">
        <v>352</v>
      </c>
    </row>
    <row r="85" spans="1:6" s="130" customFormat="1" x14ac:dyDescent="0.35">
      <c r="A85" s="130" t="s">
        <v>182</v>
      </c>
      <c r="B85" s="135">
        <v>46295</v>
      </c>
      <c r="C85" s="130">
        <v>1500</v>
      </c>
      <c r="D85" s="130" t="s">
        <v>353</v>
      </c>
      <c r="E85" s="130" t="s">
        <v>354</v>
      </c>
    </row>
    <row r="86" spans="1:6" x14ac:dyDescent="0.35">
      <c r="A86" s="130" t="s">
        <v>177</v>
      </c>
      <c r="B86" s="130"/>
      <c r="C86" s="130"/>
      <c r="D86" s="130"/>
      <c r="E86" s="130"/>
      <c r="F86" s="130"/>
    </row>
    <row r="87" spans="1:6" x14ac:dyDescent="0.35">
      <c r="A87" s="130" t="s">
        <v>190</v>
      </c>
      <c r="B87" s="130"/>
      <c r="C87" s="130"/>
      <c r="D87" s="130"/>
      <c r="E87" s="130"/>
      <c r="F87" s="130"/>
    </row>
    <row r="88" spans="1:6" x14ac:dyDescent="0.35">
      <c r="A88" s="130" t="s">
        <v>182</v>
      </c>
      <c r="B88" s="130"/>
      <c r="C88" s="130"/>
      <c r="D88" s="130"/>
      <c r="E88" s="130"/>
      <c r="F88" s="130"/>
    </row>
    <row r="89" spans="1:6" x14ac:dyDescent="0.35">
      <c r="A89" s="130" t="s">
        <v>177</v>
      </c>
      <c r="B89" s="130"/>
      <c r="C89" s="130"/>
      <c r="D89" s="130"/>
      <c r="E89" s="130"/>
      <c r="F89" s="130"/>
    </row>
    <row r="90" spans="1:6" x14ac:dyDescent="0.35">
      <c r="A90" s="130" t="s">
        <v>190</v>
      </c>
      <c r="B90" s="130"/>
      <c r="C90" s="130"/>
      <c r="D90" s="130"/>
      <c r="E90" s="130"/>
      <c r="F90" s="130"/>
    </row>
    <row r="91" spans="1:6" x14ac:dyDescent="0.35">
      <c r="A91" s="130" t="s">
        <v>182</v>
      </c>
      <c r="B91" s="130"/>
      <c r="C91" s="130"/>
      <c r="D91" s="130"/>
      <c r="E91" s="130"/>
      <c r="F91" s="130"/>
    </row>
    <row r="92" spans="1:6" x14ac:dyDescent="0.35">
      <c r="A92" s="130" t="s">
        <v>177</v>
      </c>
      <c r="B92" s="130"/>
      <c r="C92" s="130"/>
      <c r="D92" s="130"/>
      <c r="E92" s="130"/>
      <c r="F92" s="130"/>
    </row>
    <row r="93" spans="1:6" x14ac:dyDescent="0.35">
      <c r="A93" s="130" t="s">
        <v>190</v>
      </c>
      <c r="B93" s="130"/>
      <c r="C93" s="130"/>
      <c r="D93" s="130"/>
      <c r="E93" s="130"/>
      <c r="F93" s="130"/>
    </row>
    <row r="94" spans="1:6" x14ac:dyDescent="0.35">
      <c r="A94" s="130" t="s">
        <v>182</v>
      </c>
      <c r="B94" s="130"/>
      <c r="C94" s="130"/>
      <c r="D94" s="130"/>
      <c r="E94" s="130"/>
      <c r="F94" s="130"/>
    </row>
    <row r="95" spans="1:6" x14ac:dyDescent="0.35">
      <c r="A95" s="130" t="s">
        <v>177</v>
      </c>
      <c r="B95" s="130"/>
      <c r="C95" s="130"/>
      <c r="D95" s="130"/>
      <c r="E95" s="130"/>
      <c r="F95" s="130"/>
    </row>
    <row r="100" spans="1:4" x14ac:dyDescent="0.35">
      <c r="A100" s="44"/>
      <c r="B100" s="136" t="s">
        <v>356</v>
      </c>
      <c r="C100" s="136"/>
      <c r="D100" s="136"/>
    </row>
    <row r="101" spans="1:4" x14ac:dyDescent="0.35">
      <c r="A101" s="137" t="s">
        <v>355</v>
      </c>
      <c r="B101" s="137" t="s">
        <v>357</v>
      </c>
      <c r="C101" s="137" t="s">
        <v>358</v>
      </c>
      <c r="D101" s="137" t="s">
        <v>359</v>
      </c>
    </row>
    <row r="102" spans="1:4" x14ac:dyDescent="0.35">
      <c r="A102" s="138" t="s">
        <v>183</v>
      </c>
      <c r="B102" s="139">
        <v>14432</v>
      </c>
      <c r="C102" s="139">
        <v>15113</v>
      </c>
      <c r="D102" s="140">
        <v>-4.5100000000000001E-2</v>
      </c>
    </row>
    <row r="103" spans="1:4" x14ac:dyDescent="0.35">
      <c r="A103" s="138" t="s">
        <v>185</v>
      </c>
      <c r="B103" s="139">
        <v>17990</v>
      </c>
      <c r="C103" s="139">
        <v>18181</v>
      </c>
      <c r="D103" s="140">
        <v>-1.0500000000000001E-2</v>
      </c>
    </row>
    <row r="104" spans="1:4" x14ac:dyDescent="0.35">
      <c r="A104" s="138" t="s">
        <v>360</v>
      </c>
      <c r="B104" s="139">
        <v>15117</v>
      </c>
      <c r="C104" s="139">
        <v>13455</v>
      </c>
      <c r="D104" s="140">
        <v>0.1235</v>
      </c>
    </row>
    <row r="105" spans="1:4" x14ac:dyDescent="0.35">
      <c r="A105" s="138" t="s">
        <v>361</v>
      </c>
      <c r="B105" s="139">
        <v>11154</v>
      </c>
      <c r="C105" s="139">
        <v>12031</v>
      </c>
      <c r="D105" s="140">
        <v>-7.2900000000000006E-2</v>
      </c>
    </row>
    <row r="106" spans="1:4" x14ac:dyDescent="0.35">
      <c r="A106" s="138" t="s">
        <v>184</v>
      </c>
      <c r="B106" s="139">
        <v>11022</v>
      </c>
      <c r="C106" s="139">
        <v>14600</v>
      </c>
      <c r="D106" s="140">
        <v>-0.24510000000000001</v>
      </c>
    </row>
    <row r="107" spans="1:4" x14ac:dyDescent="0.35">
      <c r="A107" s="138" t="s">
        <v>362</v>
      </c>
      <c r="B107" s="139">
        <v>8905</v>
      </c>
      <c r="C107" s="139">
        <v>9096</v>
      </c>
      <c r="D107" s="140">
        <v>-2.1000000000000001E-2</v>
      </c>
    </row>
    <row r="108" spans="1:4" x14ac:dyDescent="0.35">
      <c r="A108" s="138" t="s">
        <v>363</v>
      </c>
      <c r="B108" s="139">
        <v>16735</v>
      </c>
      <c r="C108" s="139">
        <v>18207</v>
      </c>
      <c r="D108" s="140">
        <v>-8.0799999999999997E-2</v>
      </c>
    </row>
    <row r="109" spans="1:4" x14ac:dyDescent="0.35">
      <c r="A109" s="138" t="s">
        <v>364</v>
      </c>
      <c r="B109" s="139">
        <v>3635</v>
      </c>
      <c r="C109" s="139">
        <v>3579</v>
      </c>
      <c r="D109" s="140">
        <v>1.5599999999999999E-2</v>
      </c>
    </row>
    <row r="110" spans="1:4" x14ac:dyDescent="0.35">
      <c r="A110" s="138" t="s">
        <v>365</v>
      </c>
      <c r="B110" s="139">
        <v>15627</v>
      </c>
      <c r="C110" s="139">
        <v>14634</v>
      </c>
      <c r="D110" s="140">
        <v>6.7900000000000002E-2</v>
      </c>
    </row>
    <row r="111" spans="1:4" x14ac:dyDescent="0.35">
      <c r="A111" s="138" t="s">
        <v>366</v>
      </c>
      <c r="B111" s="139">
        <v>7270</v>
      </c>
      <c r="C111" s="139">
        <v>7158</v>
      </c>
      <c r="D111" s="140">
        <v>1.5599999999999999E-2</v>
      </c>
    </row>
    <row r="112" spans="1:4" x14ac:dyDescent="0.35">
      <c r="A112" s="138" t="s">
        <v>367</v>
      </c>
      <c r="B112" s="139">
        <v>5955</v>
      </c>
      <c r="C112" s="139">
        <v>5977</v>
      </c>
      <c r="D112" s="140">
        <v>-3.7000000000000002E-3</v>
      </c>
    </row>
    <row r="113" spans="1:7" x14ac:dyDescent="0.35">
      <c r="A113" s="138" t="s">
        <v>368</v>
      </c>
      <c r="B113" s="139">
        <v>7666</v>
      </c>
      <c r="C113" s="139">
        <v>7099</v>
      </c>
      <c r="D113" s="140">
        <v>7.9899999999999999E-2</v>
      </c>
    </row>
    <row r="117" spans="1:7" x14ac:dyDescent="0.35">
      <c r="A117" s="137" t="s">
        <v>369</v>
      </c>
      <c r="B117" s="137" t="s">
        <v>370</v>
      </c>
      <c r="C117" s="137" t="s">
        <v>176</v>
      </c>
      <c r="D117" s="137" t="s">
        <v>96</v>
      </c>
      <c r="E117" s="137" t="s">
        <v>371</v>
      </c>
      <c r="F117" s="160"/>
    </row>
    <row r="118" spans="1:7" x14ac:dyDescent="0.35">
      <c r="A118" s="138" t="s">
        <v>372</v>
      </c>
      <c r="B118" s="138">
        <v>5</v>
      </c>
      <c r="C118" s="138">
        <v>200</v>
      </c>
      <c r="D118" s="138">
        <v>40</v>
      </c>
      <c r="E118" s="138" t="s">
        <v>373</v>
      </c>
      <c r="F118" s="161"/>
      <c r="G118" t="s">
        <v>347</v>
      </c>
    </row>
    <row r="119" spans="1:7" x14ac:dyDescent="0.35">
      <c r="A119" s="138" t="s">
        <v>374</v>
      </c>
      <c r="B119" s="138">
        <v>6</v>
      </c>
      <c r="C119" s="138">
        <v>300</v>
      </c>
      <c r="D119" s="138">
        <v>50</v>
      </c>
      <c r="E119" s="138" t="s">
        <v>375</v>
      </c>
      <c r="F119" s="138"/>
      <c r="G119" s="44" t="s">
        <v>408</v>
      </c>
    </row>
    <row r="120" spans="1:7" x14ac:dyDescent="0.35">
      <c r="A120" s="138" t="s">
        <v>376</v>
      </c>
      <c r="B120" s="138">
        <v>1</v>
      </c>
      <c r="C120" s="138">
        <v>50</v>
      </c>
      <c r="D120" s="138">
        <v>50</v>
      </c>
      <c r="E120" s="138" t="s">
        <v>377</v>
      </c>
      <c r="F120" s="138"/>
      <c r="G120" s="44">
        <f>VLOOKUP(G119,A117:E143,4,FALSE)</f>
        <v>48</v>
      </c>
    </row>
    <row r="121" spans="1:7" x14ac:dyDescent="0.35">
      <c r="A121" s="138" t="s">
        <v>378</v>
      </c>
      <c r="B121" s="138">
        <v>9</v>
      </c>
      <c r="C121" s="138">
        <v>350</v>
      </c>
      <c r="D121" s="138">
        <v>39</v>
      </c>
      <c r="E121" s="138" t="s">
        <v>379</v>
      </c>
      <c r="F121" s="138"/>
      <c r="G121" s="44" t="str">
        <f>VLOOKUP(G119,A117:E143,5,FALSE)</f>
        <v>Customer S</v>
      </c>
    </row>
    <row r="122" spans="1:7" x14ac:dyDescent="0.35">
      <c r="A122" s="138" t="s">
        <v>380</v>
      </c>
      <c r="B122" s="138">
        <v>2</v>
      </c>
      <c r="C122" s="138">
        <v>90</v>
      </c>
      <c r="D122" s="138">
        <v>45</v>
      </c>
      <c r="E122" s="138" t="s">
        <v>381</v>
      </c>
      <c r="F122" s="161"/>
    </row>
    <row r="123" spans="1:7" x14ac:dyDescent="0.35">
      <c r="A123" s="138" t="s">
        <v>382</v>
      </c>
      <c r="B123" s="138">
        <v>3</v>
      </c>
      <c r="C123" s="138">
        <v>200</v>
      </c>
      <c r="D123" s="138">
        <v>67</v>
      </c>
      <c r="E123" s="138" t="s">
        <v>383</v>
      </c>
      <c r="F123" s="161"/>
    </row>
    <row r="124" spans="1:7" x14ac:dyDescent="0.35">
      <c r="A124" s="138" t="s">
        <v>384</v>
      </c>
      <c r="B124" s="138">
        <v>4</v>
      </c>
      <c r="C124" s="138">
        <v>350</v>
      </c>
      <c r="D124" s="138">
        <v>88</v>
      </c>
      <c r="E124" s="138" t="s">
        <v>385</v>
      </c>
      <c r="F124" s="161"/>
    </row>
    <row r="125" spans="1:7" x14ac:dyDescent="0.35">
      <c r="A125" s="138" t="s">
        <v>386</v>
      </c>
      <c r="B125" s="138">
        <v>9</v>
      </c>
      <c r="C125" s="138">
        <v>333</v>
      </c>
      <c r="D125" s="138">
        <v>37</v>
      </c>
      <c r="E125" s="138" t="s">
        <v>387</v>
      </c>
      <c r="F125" s="161"/>
    </row>
    <row r="126" spans="1:7" x14ac:dyDescent="0.35">
      <c r="A126" s="138" t="s">
        <v>388</v>
      </c>
      <c r="B126" s="138">
        <v>10</v>
      </c>
      <c r="C126" s="138">
        <v>410</v>
      </c>
      <c r="D126" s="138">
        <v>41</v>
      </c>
      <c r="E126" s="138" t="s">
        <v>389</v>
      </c>
      <c r="F126" s="161"/>
    </row>
    <row r="127" spans="1:7" x14ac:dyDescent="0.35">
      <c r="A127" s="138" t="s">
        <v>390</v>
      </c>
      <c r="B127" s="138">
        <v>7</v>
      </c>
      <c r="C127" s="138">
        <v>280</v>
      </c>
      <c r="D127" s="138">
        <v>40</v>
      </c>
      <c r="E127" s="138" t="s">
        <v>391</v>
      </c>
      <c r="F127" s="161"/>
    </row>
    <row r="128" spans="1:7" x14ac:dyDescent="0.35">
      <c r="A128" s="138" t="s">
        <v>392</v>
      </c>
      <c r="B128" s="138">
        <v>10</v>
      </c>
      <c r="C128" s="138">
        <v>320</v>
      </c>
      <c r="D128" s="138">
        <v>32</v>
      </c>
      <c r="E128" s="138" t="s">
        <v>393</v>
      </c>
      <c r="F128" s="161"/>
    </row>
    <row r="129" spans="1:6" x14ac:dyDescent="0.35">
      <c r="A129" s="138" t="s">
        <v>394</v>
      </c>
      <c r="B129" s="138">
        <v>8</v>
      </c>
      <c r="C129" s="138">
        <v>272</v>
      </c>
      <c r="D129" s="138">
        <v>34</v>
      </c>
      <c r="E129" s="138" t="s">
        <v>395</v>
      </c>
      <c r="F129" s="161"/>
    </row>
    <row r="130" spans="1:6" x14ac:dyDescent="0.35">
      <c r="A130" s="138" t="s">
        <v>396</v>
      </c>
      <c r="B130" s="138">
        <v>10</v>
      </c>
      <c r="C130" s="138">
        <v>300</v>
      </c>
      <c r="D130" s="138">
        <v>30</v>
      </c>
      <c r="E130" s="138" t="s">
        <v>397</v>
      </c>
      <c r="F130" s="161"/>
    </row>
    <row r="131" spans="1:6" x14ac:dyDescent="0.35">
      <c r="A131" s="138" t="s">
        <v>398</v>
      </c>
      <c r="B131" s="138">
        <v>4</v>
      </c>
      <c r="C131" s="138">
        <v>168</v>
      </c>
      <c r="D131" s="138">
        <v>42</v>
      </c>
      <c r="E131" s="138" t="s">
        <v>399</v>
      </c>
      <c r="F131" s="161"/>
    </row>
    <row r="132" spans="1:6" x14ac:dyDescent="0.35">
      <c r="A132" s="138" t="s">
        <v>400</v>
      </c>
      <c r="B132" s="138">
        <v>9</v>
      </c>
      <c r="C132" s="138">
        <v>279</v>
      </c>
      <c r="D132" s="138">
        <v>31</v>
      </c>
      <c r="E132" s="138" t="s">
        <v>401</v>
      </c>
      <c r="F132" s="161"/>
    </row>
    <row r="133" spans="1:6" x14ac:dyDescent="0.35">
      <c r="A133" s="138" t="s">
        <v>402</v>
      </c>
      <c r="B133" s="138">
        <v>8</v>
      </c>
      <c r="C133" s="138">
        <v>320</v>
      </c>
      <c r="D133" s="138">
        <v>40</v>
      </c>
      <c r="E133" s="138" t="s">
        <v>403</v>
      </c>
      <c r="F133" s="161"/>
    </row>
    <row r="134" spans="1:6" x14ac:dyDescent="0.35">
      <c r="A134" s="138" t="s">
        <v>404</v>
      </c>
      <c r="B134" s="138">
        <v>3</v>
      </c>
      <c r="C134" s="138">
        <v>144</v>
      </c>
      <c r="D134" s="138">
        <v>48</v>
      </c>
      <c r="E134" s="138" t="s">
        <v>405</v>
      </c>
      <c r="F134" s="161"/>
    </row>
    <row r="135" spans="1:6" x14ac:dyDescent="0.35">
      <c r="A135" s="138" t="s">
        <v>406</v>
      </c>
      <c r="B135" s="138">
        <v>10</v>
      </c>
      <c r="C135" s="138">
        <v>380</v>
      </c>
      <c r="D135" s="138">
        <v>38</v>
      </c>
      <c r="E135" s="138" t="s">
        <v>407</v>
      </c>
      <c r="F135" s="161"/>
    </row>
    <row r="136" spans="1:6" x14ac:dyDescent="0.35">
      <c r="A136" s="138" t="s">
        <v>408</v>
      </c>
      <c r="B136" s="138">
        <v>4</v>
      </c>
      <c r="C136" s="138">
        <v>192</v>
      </c>
      <c r="D136" s="138">
        <v>48</v>
      </c>
      <c r="E136" s="138" t="s">
        <v>409</v>
      </c>
      <c r="F136" s="161"/>
    </row>
    <row r="137" spans="1:6" x14ac:dyDescent="0.35">
      <c r="A137" s="138" t="s">
        <v>410</v>
      </c>
      <c r="B137" s="138">
        <v>4</v>
      </c>
      <c r="C137" s="138">
        <v>160</v>
      </c>
      <c r="D137" s="138">
        <v>40</v>
      </c>
      <c r="E137" s="138" t="s">
        <v>411</v>
      </c>
      <c r="F137" s="161"/>
    </row>
    <row r="138" spans="1:6" x14ac:dyDescent="0.35">
      <c r="A138" s="138" t="s">
        <v>412</v>
      </c>
      <c r="B138" s="138">
        <v>5</v>
      </c>
      <c r="C138" s="138">
        <v>155</v>
      </c>
      <c r="D138" s="138">
        <v>31</v>
      </c>
      <c r="E138" s="138" t="s">
        <v>413</v>
      </c>
      <c r="F138" s="161"/>
    </row>
    <row r="139" spans="1:6" x14ac:dyDescent="0.35">
      <c r="A139" s="138" t="s">
        <v>414</v>
      </c>
      <c r="B139" s="138">
        <v>8</v>
      </c>
      <c r="C139" s="138">
        <v>352</v>
      </c>
      <c r="D139" s="138">
        <v>44</v>
      </c>
      <c r="E139" s="138" t="s">
        <v>415</v>
      </c>
      <c r="F139" s="161"/>
    </row>
    <row r="140" spans="1:6" x14ac:dyDescent="0.35">
      <c r="A140" s="138" t="s">
        <v>416</v>
      </c>
      <c r="B140" s="138">
        <v>8</v>
      </c>
      <c r="C140" s="138">
        <v>400</v>
      </c>
      <c r="D140" s="138">
        <v>50</v>
      </c>
      <c r="E140" s="138" t="s">
        <v>417</v>
      </c>
      <c r="F140" s="161"/>
    </row>
    <row r="141" spans="1:6" x14ac:dyDescent="0.35">
      <c r="A141" s="138" t="s">
        <v>418</v>
      </c>
      <c r="B141" s="138">
        <v>8</v>
      </c>
      <c r="C141" s="138">
        <v>280</v>
      </c>
      <c r="D141" s="138">
        <v>35</v>
      </c>
      <c r="E141" s="138" t="s">
        <v>419</v>
      </c>
      <c r="F141" s="161"/>
    </row>
    <row r="142" spans="1:6" x14ac:dyDescent="0.35">
      <c r="A142" s="138" t="s">
        <v>420</v>
      </c>
      <c r="B142" s="138">
        <v>10</v>
      </c>
      <c r="C142" s="138">
        <v>350</v>
      </c>
      <c r="D142" s="138">
        <v>35</v>
      </c>
      <c r="E142" s="138" t="s">
        <v>421</v>
      </c>
      <c r="F142" s="161"/>
    </row>
    <row r="143" spans="1:6" x14ac:dyDescent="0.35">
      <c r="A143" s="138" t="s">
        <v>422</v>
      </c>
      <c r="B143" s="138">
        <v>3</v>
      </c>
      <c r="C143" s="138">
        <v>102</v>
      </c>
      <c r="D143" s="138">
        <v>34</v>
      </c>
      <c r="E143" s="138" t="s">
        <v>423</v>
      </c>
      <c r="F143" s="161"/>
    </row>
    <row r="146" spans="1:7" ht="15" thickBot="1" x14ac:dyDescent="0.4"/>
    <row r="147" spans="1:7" ht="19" thickBot="1" x14ac:dyDescent="0.5">
      <c r="A147" s="142" t="s">
        <v>138</v>
      </c>
      <c r="B147" s="142" t="s">
        <v>424</v>
      </c>
      <c r="C147" s="142" t="s">
        <v>425</v>
      </c>
      <c r="G147" s="144" t="s">
        <v>447</v>
      </c>
    </row>
    <row r="148" spans="1:7" ht="15" thickBot="1" x14ac:dyDescent="0.4">
      <c r="A148" s="138" t="s">
        <v>426</v>
      </c>
      <c r="B148" s="138" t="s">
        <v>427</v>
      </c>
      <c r="C148" s="138" t="s">
        <v>428</v>
      </c>
      <c r="G148" s="54" t="e">
        <f>VLOOKUP(#REF!,$A$147:$D$154,3,FALSE)</f>
        <v>#REF!</v>
      </c>
    </row>
    <row r="149" spans="1:7" ht="15" thickBot="1" x14ac:dyDescent="0.4">
      <c r="A149" s="138" t="s">
        <v>429</v>
      </c>
      <c r="B149" s="138" t="s">
        <v>430</v>
      </c>
      <c r="C149" s="138" t="s">
        <v>431</v>
      </c>
      <c r="G149" s="54" t="e">
        <f>VLOOKUP(#REF!,$A$147:$D$154,3,FALSE)</f>
        <v>#REF!</v>
      </c>
    </row>
    <row r="150" spans="1:7" ht="15" thickBot="1" x14ac:dyDescent="0.4">
      <c r="A150" s="138" t="s">
        <v>432</v>
      </c>
      <c r="B150" s="138" t="s">
        <v>433</v>
      </c>
      <c r="C150" s="138" t="s">
        <v>434</v>
      </c>
      <c r="G150" s="54" t="e">
        <f>VLOOKUP(#REF!,$A$147:$D$154,3,FALSE)</f>
        <v>#REF!</v>
      </c>
    </row>
    <row r="151" spans="1:7" x14ac:dyDescent="0.35">
      <c r="A151" s="138" t="s">
        <v>435</v>
      </c>
      <c r="B151" s="138" t="s">
        <v>436</v>
      </c>
      <c r="C151" s="138" t="s">
        <v>437</v>
      </c>
    </row>
    <row r="152" spans="1:7" x14ac:dyDescent="0.35">
      <c r="A152" s="138" t="s">
        <v>438</v>
      </c>
      <c r="B152" s="138" t="s">
        <v>439</v>
      </c>
      <c r="C152" s="138" t="s">
        <v>440</v>
      </c>
    </row>
    <row r="153" spans="1:7" x14ac:dyDescent="0.35">
      <c r="A153" s="138" t="s">
        <v>441</v>
      </c>
      <c r="B153" s="138" t="s">
        <v>442</v>
      </c>
      <c r="C153" s="138" t="s">
        <v>443</v>
      </c>
    </row>
    <row r="154" spans="1:7" x14ac:dyDescent="0.35">
      <c r="A154" s="138" t="s">
        <v>444</v>
      </c>
      <c r="B154" s="138" t="s">
        <v>445</v>
      </c>
      <c r="C154" s="138" t="s">
        <v>446</v>
      </c>
    </row>
    <row r="156" spans="1:7" ht="15" thickBot="1" x14ac:dyDescent="0.4"/>
    <row r="157" spans="1:7" ht="19" thickBot="1" x14ac:dyDescent="0.5">
      <c r="G157" s="146" t="s">
        <v>486</v>
      </c>
    </row>
    <row r="158" spans="1:7" ht="15" thickBot="1" x14ac:dyDescent="0.4">
      <c r="G158" s="54" t="e">
        <f>VLOOKUP(TRIM(#REF!),Sheet1!$A$168:$C$178,3,FALSE)</f>
        <v>#REF!</v>
      </c>
    </row>
    <row r="159" spans="1:7" ht="15" thickBot="1" x14ac:dyDescent="0.4">
      <c r="G159" s="54" t="e">
        <f>VLOOKUP(TRIM(#REF!),Sheet1!$A$168:$C$178,3,FALSE)</f>
        <v>#REF!</v>
      </c>
    </row>
    <row r="160" spans="1:7" ht="15" thickBot="1" x14ac:dyDescent="0.4">
      <c r="G160" s="54" t="e">
        <f>VLOOKUP(TRIM(#REF!),Sheet1!$A$168:$C$178,3,FALSE)</f>
        <v>#REF!</v>
      </c>
    </row>
    <row r="161" spans="2:10" ht="15" thickBot="1" x14ac:dyDescent="0.4">
      <c r="G161" s="54" t="e">
        <f>VLOOKUP(TRIM(#REF!),Sheet1!$A$168:$C$178,3,FALSE)</f>
        <v>#REF!</v>
      </c>
    </row>
    <row r="162" spans="2:10" ht="15" thickBot="1" x14ac:dyDescent="0.4">
      <c r="G162" s="54" t="e">
        <f>VLOOKUP(TRIM(#REF!),Sheet1!$A$168:$C$178,3,FALSE)</f>
        <v>#REF!</v>
      </c>
    </row>
    <row r="163" spans="2:10" ht="15" thickBot="1" x14ac:dyDescent="0.4">
      <c r="G163" s="54" t="e">
        <f>VLOOKUP(TRIM(#REF!),Sheet1!$A$168:$C$178,3,FALSE)</f>
        <v>#REF!</v>
      </c>
    </row>
    <row r="165" spans="2:10" ht="15" thickBot="1" x14ac:dyDescent="0.4"/>
    <row r="166" spans="2:10" ht="19" thickBot="1" x14ac:dyDescent="0.5">
      <c r="B166" s="143" t="s">
        <v>138</v>
      </c>
      <c r="C166" s="143" t="s">
        <v>487</v>
      </c>
      <c r="D166" s="146" t="s">
        <v>203</v>
      </c>
      <c r="E166" s="54"/>
      <c r="F166" s="54"/>
      <c r="G166" s="146" t="s">
        <v>487</v>
      </c>
      <c r="H166" s="146" t="s">
        <v>203</v>
      </c>
    </row>
    <row r="167" spans="2:10" ht="15" thickBot="1" x14ac:dyDescent="0.4">
      <c r="B167" s="54" t="s">
        <v>426</v>
      </c>
      <c r="C167" s="54">
        <v>26</v>
      </c>
      <c r="D167" s="54" t="str">
        <f>VLOOKUP(C167,$G$167:$H$171,2,TRUE)</f>
        <v>E</v>
      </c>
      <c r="E167" s="54"/>
      <c r="F167" s="54"/>
      <c r="G167" s="54">
        <v>0</v>
      </c>
      <c r="H167" s="54" t="s">
        <v>142</v>
      </c>
    </row>
    <row r="168" spans="2:10" ht="15" thickBot="1" x14ac:dyDescent="0.4">
      <c r="B168" s="54" t="s">
        <v>429</v>
      </c>
      <c r="C168" s="54">
        <v>82</v>
      </c>
      <c r="D168" s="54" t="str">
        <f t="shared" ref="D168:D172" si="0">VLOOKUP(C168,$G$167:$H$171,2,TRUE)</f>
        <v>B</v>
      </c>
      <c r="E168" s="54"/>
      <c r="F168" s="54"/>
      <c r="G168" s="54">
        <v>55</v>
      </c>
      <c r="H168" s="54" t="s">
        <v>141</v>
      </c>
      <c r="J168" s="147" t="s">
        <v>488</v>
      </c>
    </row>
    <row r="169" spans="2:10" ht="15" thickBot="1" x14ac:dyDescent="0.4">
      <c r="B169" s="54" t="s">
        <v>432</v>
      </c>
      <c r="C169" s="54">
        <v>99</v>
      </c>
      <c r="D169" s="54" t="str">
        <f t="shared" si="0"/>
        <v>A</v>
      </c>
      <c r="E169" s="54"/>
      <c r="F169" s="54"/>
      <c r="G169" s="54">
        <v>70</v>
      </c>
      <c r="H169" s="54" t="s">
        <v>140</v>
      </c>
    </row>
    <row r="170" spans="2:10" ht="15" thickBot="1" x14ac:dyDescent="0.4">
      <c r="B170" s="54" t="s">
        <v>438</v>
      </c>
      <c r="C170" s="54">
        <v>16</v>
      </c>
      <c r="D170" s="54" t="str">
        <f t="shared" si="0"/>
        <v>E</v>
      </c>
      <c r="E170" s="54"/>
      <c r="F170" s="54"/>
      <c r="G170" s="54">
        <v>80</v>
      </c>
      <c r="H170" s="54" t="s">
        <v>98</v>
      </c>
    </row>
    <row r="171" spans="2:10" ht="15" thickBot="1" x14ac:dyDescent="0.4">
      <c r="B171" s="54" t="s">
        <v>441</v>
      </c>
      <c r="C171" s="54">
        <v>75</v>
      </c>
      <c r="D171" s="54" t="str">
        <f t="shared" si="0"/>
        <v>C</v>
      </c>
      <c r="E171" s="54"/>
      <c r="F171" s="54"/>
      <c r="G171" s="54">
        <v>90</v>
      </c>
      <c r="H171" s="54" t="s">
        <v>97</v>
      </c>
    </row>
    <row r="172" spans="2:10" ht="15" thickBot="1" x14ac:dyDescent="0.4">
      <c r="B172" s="54" t="s">
        <v>435</v>
      </c>
      <c r="C172" s="54">
        <v>18</v>
      </c>
      <c r="D172" s="54" t="str">
        <f t="shared" si="0"/>
        <v>E</v>
      </c>
      <c r="E172" s="54"/>
      <c r="F172" s="54"/>
      <c r="G172" s="54"/>
      <c r="H172" s="54"/>
    </row>
    <row r="173" spans="2:10" ht="15" thickBot="1" x14ac:dyDescent="0.4">
      <c r="B173" s="54" t="s">
        <v>444</v>
      </c>
      <c r="C173" s="54">
        <v>89</v>
      </c>
      <c r="D173" s="54"/>
      <c r="E173" s="54"/>
      <c r="F173" s="54"/>
      <c r="G173" s="54"/>
      <c r="H173" s="54"/>
    </row>
    <row r="176" spans="2:10" ht="21" x14ac:dyDescent="0.5">
      <c r="B176" s="149" t="s">
        <v>489</v>
      </c>
    </row>
    <row r="178" spans="2:6" ht="19" thickBot="1" x14ac:dyDescent="0.5">
      <c r="B178" s="150" t="s">
        <v>448</v>
      </c>
      <c r="C178" s="150" t="s">
        <v>490</v>
      </c>
      <c r="E178" s="141" t="s">
        <v>543</v>
      </c>
      <c r="F178" s="141"/>
    </row>
    <row r="179" spans="2:6" x14ac:dyDescent="0.35">
      <c r="B179" s="62" t="s">
        <v>255</v>
      </c>
      <c r="C179" s="76">
        <v>60270</v>
      </c>
      <c r="E179">
        <f>_xlfn.XLOOKUP(B179,Sheet1!$C$185:$C$209,Sheet1!$B$185:$B$209,0)*C179</f>
        <v>14464.8</v>
      </c>
    </row>
    <row r="180" spans="2:6" x14ac:dyDescent="0.35">
      <c r="B180" s="62" t="s">
        <v>257</v>
      </c>
      <c r="C180" s="76">
        <v>39627</v>
      </c>
      <c r="E180">
        <f>_xlfn.XLOOKUP(B180,Sheet1!$C$185:$C$209,Sheet1!$B$185:$B$209,0)*C180</f>
        <v>0</v>
      </c>
    </row>
    <row r="181" spans="2:6" x14ac:dyDescent="0.35">
      <c r="B181" s="62" t="s">
        <v>259</v>
      </c>
      <c r="C181" s="76">
        <v>29726</v>
      </c>
      <c r="E181">
        <f>_xlfn.XLOOKUP(B181,Sheet1!$C$185:$C$209,Sheet1!$B$185:$B$209,0)*C181</f>
        <v>4161.6400000000003</v>
      </c>
    </row>
    <row r="182" spans="2:6" x14ac:dyDescent="0.35">
      <c r="B182" s="62" t="s">
        <v>260</v>
      </c>
      <c r="C182" s="76">
        <v>93668</v>
      </c>
      <c r="E182">
        <f>_xlfn.XLOOKUP(B182,Sheet1!$C$185:$C$209,Sheet1!$B$185:$B$209,0)*C182</f>
        <v>21543.64</v>
      </c>
    </row>
    <row r="183" spans="2:6" x14ac:dyDescent="0.35">
      <c r="B183" s="62" t="s">
        <v>491</v>
      </c>
      <c r="C183" s="76">
        <v>134000</v>
      </c>
      <c r="E183">
        <f>_xlfn.XLOOKUP(B183,Sheet1!$C$185:$C$209,Sheet1!$B$185:$B$209,0)*C183</f>
        <v>33500</v>
      </c>
    </row>
    <row r="184" spans="2:6" x14ac:dyDescent="0.35">
      <c r="B184" s="62" t="s">
        <v>492</v>
      </c>
      <c r="C184" s="76">
        <v>34808</v>
      </c>
      <c r="E184">
        <f>_xlfn.XLOOKUP(B184,Sheet1!$C$185:$C$209,Sheet1!$B$185:$B$209,0)*C184</f>
        <v>3480.8</v>
      </c>
    </row>
    <row r="185" spans="2:6" x14ac:dyDescent="0.35">
      <c r="B185" s="62" t="s">
        <v>263</v>
      </c>
      <c r="C185" s="76">
        <v>135000</v>
      </c>
      <c r="E185">
        <f>_xlfn.XLOOKUP(B185,Sheet1!$C$185:$C$209,Sheet1!$B$185:$B$209,0)*C185</f>
        <v>0</v>
      </c>
    </row>
    <row r="186" spans="2:6" x14ac:dyDescent="0.35">
      <c r="B186" s="62" t="s">
        <v>264</v>
      </c>
      <c r="C186" s="76">
        <v>45000</v>
      </c>
      <c r="E186">
        <f>_xlfn.XLOOKUP(B186,Sheet1!$C$185:$C$209,Sheet1!$B$185:$B$209,0)*C186</f>
        <v>4500</v>
      </c>
    </row>
    <row r="187" spans="2:6" x14ac:dyDescent="0.35">
      <c r="B187" s="62" t="s">
        <v>493</v>
      </c>
      <c r="C187" s="76">
        <v>89500</v>
      </c>
    </row>
    <row r="188" spans="2:6" x14ac:dyDescent="0.35">
      <c r="B188" s="62" t="s">
        <v>494</v>
      </c>
      <c r="C188" s="76">
        <v>21971</v>
      </c>
    </row>
    <row r="189" spans="2:6" x14ac:dyDescent="0.35">
      <c r="B189" s="62" t="s">
        <v>495</v>
      </c>
      <c r="C189" s="76">
        <v>80000</v>
      </c>
    </row>
    <row r="190" spans="2:6" x14ac:dyDescent="0.35">
      <c r="B190" s="62" t="s">
        <v>496</v>
      </c>
      <c r="C190" s="76">
        <v>45117</v>
      </c>
    </row>
    <row r="191" spans="2:6" x14ac:dyDescent="0.35">
      <c r="B191" s="62" t="s">
        <v>497</v>
      </c>
      <c r="C191" s="76">
        <v>50545</v>
      </c>
    </row>
    <row r="192" spans="2:6" x14ac:dyDescent="0.35">
      <c r="B192" s="62" t="s">
        <v>498</v>
      </c>
      <c r="C192" s="76">
        <v>140000</v>
      </c>
    </row>
    <row r="193" spans="2:6" x14ac:dyDescent="0.35">
      <c r="B193" s="62" t="s">
        <v>499</v>
      </c>
      <c r="C193" s="76">
        <v>110000</v>
      </c>
    </row>
    <row r="194" spans="2:6" x14ac:dyDescent="0.35">
      <c r="B194" s="62" t="s">
        <v>500</v>
      </c>
      <c r="C194" s="76">
        <v>68357</v>
      </c>
    </row>
    <row r="195" spans="2:6" x14ac:dyDescent="0.35">
      <c r="B195" s="62" t="s">
        <v>501</v>
      </c>
      <c r="C195" s="76">
        <v>51800</v>
      </c>
    </row>
    <row r="196" spans="2:6" x14ac:dyDescent="0.35">
      <c r="B196" s="62" t="s">
        <v>502</v>
      </c>
      <c r="C196" s="76">
        <v>97000</v>
      </c>
    </row>
    <row r="198" spans="2:6" ht="16" x14ac:dyDescent="0.4">
      <c r="B198" s="154" t="s">
        <v>544</v>
      </c>
    </row>
    <row r="201" spans="2:6" ht="18.5" x14ac:dyDescent="0.45">
      <c r="B201" s="155" t="s">
        <v>448</v>
      </c>
      <c r="C201" s="155" t="s">
        <v>490</v>
      </c>
      <c r="D201" s="44"/>
      <c r="E201" s="156" t="s">
        <v>543</v>
      </c>
      <c r="F201" s="162"/>
    </row>
    <row r="202" spans="2:6" x14ac:dyDescent="0.35">
      <c r="B202" s="138" t="s">
        <v>255</v>
      </c>
      <c r="C202" s="139">
        <v>60270</v>
      </c>
      <c r="D202" s="44"/>
      <c r="E202" s="44">
        <f>_xlfn.XLOOKUP(B202,Sheet1!$C$185:$C$209,Sheet1!$B$185:$B$209,0)*C202</f>
        <v>14464.8</v>
      </c>
      <c r="F202" s="163"/>
    </row>
    <row r="203" spans="2:6" x14ac:dyDescent="0.35">
      <c r="B203" s="138" t="s">
        <v>257</v>
      </c>
      <c r="C203" s="139">
        <v>39627</v>
      </c>
      <c r="D203" s="44"/>
      <c r="E203" s="44">
        <f>_xlfn.XLOOKUP(B203,Sheet1!$C$185:$C$209,Sheet1!$B$185:$B$209,0)*C203</f>
        <v>0</v>
      </c>
      <c r="F203" s="163"/>
    </row>
    <row r="204" spans="2:6" x14ac:dyDescent="0.35">
      <c r="B204" s="138" t="s">
        <v>259</v>
      </c>
      <c r="C204" s="139">
        <v>29726</v>
      </c>
      <c r="D204" s="44"/>
      <c r="E204" s="44">
        <f>_xlfn.XLOOKUP(B204,Sheet1!$C$185:$C$209,Sheet1!$B$185:$B$209,0)*C204</f>
        <v>4161.6400000000003</v>
      </c>
      <c r="F204" s="163"/>
    </row>
    <row r="205" spans="2:6" x14ac:dyDescent="0.35">
      <c r="B205" s="138" t="s">
        <v>260</v>
      </c>
      <c r="C205" s="139">
        <v>93668</v>
      </c>
      <c r="D205" s="44"/>
      <c r="E205" s="44">
        <f>_xlfn.XLOOKUP(B205,Sheet1!$C$185:$C$209,Sheet1!$B$185:$B$209,0)*C205</f>
        <v>21543.64</v>
      </c>
      <c r="F205" s="163"/>
    </row>
    <row r="206" spans="2:6" x14ac:dyDescent="0.35">
      <c r="B206" s="138" t="s">
        <v>491</v>
      </c>
      <c r="C206" s="139">
        <v>134000</v>
      </c>
      <c r="D206" s="44"/>
      <c r="E206" s="44">
        <f>_xlfn.XLOOKUP(B206,Sheet1!$C$185:$C$209,Sheet1!$B$185:$B$209,0)*C206</f>
        <v>33500</v>
      </c>
      <c r="F206" s="163"/>
    </row>
    <row r="207" spans="2:6" x14ac:dyDescent="0.35">
      <c r="B207" s="138" t="s">
        <v>492</v>
      </c>
      <c r="C207" s="139">
        <v>34808</v>
      </c>
      <c r="D207" s="44"/>
      <c r="E207" s="44">
        <f>_xlfn.XLOOKUP(B207,Sheet1!$C$185:$C$209,Sheet1!$B$185:$B$209,0)*C207</f>
        <v>3480.8</v>
      </c>
      <c r="F207" s="163"/>
    </row>
    <row r="208" spans="2:6" x14ac:dyDescent="0.35">
      <c r="B208" s="138" t="s">
        <v>263</v>
      </c>
      <c r="C208" s="139">
        <v>135000</v>
      </c>
      <c r="D208" s="44"/>
      <c r="E208" s="44">
        <f>_xlfn.XLOOKUP(B208,Sheet1!$C$185:$C$209,Sheet1!$B$185:$B$209,0)*C208</f>
        <v>0</v>
      </c>
      <c r="F208" s="163"/>
    </row>
    <row r="209" spans="2:6" x14ac:dyDescent="0.35">
      <c r="B209" s="138" t="s">
        <v>264</v>
      </c>
      <c r="C209" s="139">
        <v>45000</v>
      </c>
      <c r="D209" s="44"/>
      <c r="E209" s="44">
        <f>_xlfn.XLOOKUP(B209,Sheet1!$C$185:$C$209,Sheet1!$B$185:$B$209,0)*C209</f>
        <v>4500</v>
      </c>
      <c r="F209" s="163"/>
    </row>
    <row r="210" spans="2:6" x14ac:dyDescent="0.35">
      <c r="B210" s="138" t="s">
        <v>493</v>
      </c>
      <c r="C210" s="139">
        <v>89500</v>
      </c>
      <c r="D210" s="44"/>
      <c r="E210" s="44"/>
      <c r="F210" s="163"/>
    </row>
    <row r="211" spans="2:6" x14ac:dyDescent="0.35">
      <c r="B211" s="138" t="s">
        <v>494</v>
      </c>
      <c r="C211" s="139">
        <v>21971</v>
      </c>
      <c r="D211" s="44"/>
      <c r="E211" s="44"/>
      <c r="F211" s="163"/>
    </row>
    <row r="212" spans="2:6" x14ac:dyDescent="0.35">
      <c r="B212" s="138" t="s">
        <v>495</v>
      </c>
      <c r="C212" s="139">
        <v>80000</v>
      </c>
      <c r="D212" s="44"/>
      <c r="E212" s="44"/>
      <c r="F212" s="163"/>
    </row>
    <row r="213" spans="2:6" x14ac:dyDescent="0.35">
      <c r="B213" s="138" t="s">
        <v>496</v>
      </c>
      <c r="C213" s="139">
        <v>45117</v>
      </c>
      <c r="D213" s="44"/>
      <c r="E213" s="44"/>
      <c r="F213" s="163"/>
    </row>
    <row r="214" spans="2:6" x14ac:dyDescent="0.35">
      <c r="B214" s="138" t="s">
        <v>497</v>
      </c>
      <c r="C214" s="139">
        <v>50545</v>
      </c>
      <c r="D214" s="44"/>
      <c r="E214" s="44"/>
      <c r="F214" s="163"/>
    </row>
    <row r="215" spans="2:6" x14ac:dyDescent="0.35">
      <c r="B215" s="138" t="s">
        <v>498</v>
      </c>
      <c r="C215" s="139">
        <v>140000</v>
      </c>
      <c r="D215" s="44"/>
      <c r="E215" s="44"/>
      <c r="F215" s="163"/>
    </row>
    <row r="216" spans="2:6" x14ac:dyDescent="0.35">
      <c r="B216" s="138" t="s">
        <v>499</v>
      </c>
      <c r="C216" s="139">
        <v>110000</v>
      </c>
      <c r="D216" s="44"/>
      <c r="E216" s="44"/>
      <c r="F216" s="163"/>
    </row>
    <row r="217" spans="2:6" x14ac:dyDescent="0.35">
      <c r="B217" s="138" t="s">
        <v>500</v>
      </c>
      <c r="C217" s="139">
        <v>68357</v>
      </c>
      <c r="D217" s="44"/>
      <c r="E217" s="44"/>
      <c r="F217" s="163"/>
    </row>
    <row r="218" spans="2:6" x14ac:dyDescent="0.35">
      <c r="B218" s="138" t="s">
        <v>501</v>
      </c>
      <c r="C218" s="139">
        <v>51800</v>
      </c>
      <c r="D218" s="44"/>
      <c r="E218" s="44"/>
      <c r="F218" s="163"/>
    </row>
    <row r="219" spans="2:6" x14ac:dyDescent="0.35">
      <c r="B219" s="138" t="s">
        <v>502</v>
      </c>
      <c r="C219" s="139">
        <v>97000</v>
      </c>
      <c r="D219" s="44"/>
      <c r="E219" s="44"/>
      <c r="F219" s="163"/>
    </row>
    <row r="221" spans="2:6" ht="21" x14ac:dyDescent="0.5">
      <c r="B221" s="149" t="s">
        <v>545</v>
      </c>
    </row>
    <row r="222" spans="2:6" ht="15" thickBot="1" x14ac:dyDescent="0.4"/>
    <row r="223" spans="2:6" ht="19" thickBot="1" x14ac:dyDescent="0.5">
      <c r="B223" s="152" t="s">
        <v>448</v>
      </c>
      <c r="C223" s="152" t="s">
        <v>490</v>
      </c>
      <c r="D223" s="152" t="s">
        <v>546</v>
      </c>
      <c r="E223" s="152" t="s">
        <v>547</v>
      </c>
      <c r="F223" s="164"/>
    </row>
    <row r="224" spans="2:6" ht="15" thickBot="1" x14ac:dyDescent="0.4">
      <c r="B224" s="54" t="s">
        <v>255</v>
      </c>
      <c r="C224" s="157">
        <v>60270</v>
      </c>
      <c r="D224" s="157">
        <v>14465</v>
      </c>
      <c r="E224" s="157">
        <v>74735</v>
      </c>
      <c r="F224" s="165"/>
    </row>
    <row r="225" spans="2:6" ht="15" thickBot="1" x14ac:dyDescent="0.4">
      <c r="B225" s="54" t="s">
        <v>257</v>
      </c>
      <c r="C225" s="157">
        <v>39627</v>
      </c>
      <c r="D225" s="54" t="s">
        <v>548</v>
      </c>
      <c r="E225" s="157">
        <v>39627</v>
      </c>
      <c r="F225" s="165"/>
    </row>
    <row r="226" spans="2:6" ht="15" thickBot="1" x14ac:dyDescent="0.4">
      <c r="B226" s="54" t="s">
        <v>259</v>
      </c>
      <c r="C226" s="157">
        <v>29726</v>
      </c>
      <c r="D226" s="157">
        <v>4162</v>
      </c>
      <c r="E226" s="157">
        <v>33888</v>
      </c>
      <c r="F226" s="165"/>
    </row>
    <row r="227" spans="2:6" ht="15" thickBot="1" x14ac:dyDescent="0.4">
      <c r="B227" s="54" t="s">
        <v>260</v>
      </c>
      <c r="C227" s="157">
        <v>93668</v>
      </c>
      <c r="D227" s="157">
        <v>21544</v>
      </c>
      <c r="E227" s="157">
        <v>115212</v>
      </c>
      <c r="F227" s="165"/>
    </row>
    <row r="228" spans="2:6" ht="15" thickBot="1" x14ac:dyDescent="0.4">
      <c r="B228" s="54" t="s">
        <v>491</v>
      </c>
      <c r="C228" s="157">
        <v>134000</v>
      </c>
      <c r="D228" s="157">
        <v>33500</v>
      </c>
      <c r="E228" s="157">
        <v>167500</v>
      </c>
      <c r="F228" s="165"/>
    </row>
    <row r="229" spans="2:6" ht="15" thickBot="1" x14ac:dyDescent="0.4">
      <c r="B229" s="54" t="s">
        <v>492</v>
      </c>
      <c r="C229" s="157">
        <v>34808</v>
      </c>
      <c r="D229" s="157">
        <v>3481</v>
      </c>
      <c r="E229" s="157">
        <v>38289</v>
      </c>
      <c r="F229" s="165"/>
    </row>
    <row r="230" spans="2:6" ht="15" thickBot="1" x14ac:dyDescent="0.4">
      <c r="B230" s="54" t="s">
        <v>263</v>
      </c>
      <c r="C230" s="157">
        <v>135000</v>
      </c>
      <c r="D230" s="54" t="s">
        <v>548</v>
      </c>
      <c r="E230" s="157">
        <v>135000</v>
      </c>
      <c r="F230" s="165"/>
    </row>
    <row r="231" spans="2:6" ht="15" thickBot="1" x14ac:dyDescent="0.4">
      <c r="B231" s="54" t="s">
        <v>264</v>
      </c>
      <c r="C231" s="157">
        <v>45000</v>
      </c>
      <c r="D231" s="157">
        <v>4500</v>
      </c>
      <c r="E231" s="157">
        <v>49500</v>
      </c>
      <c r="F231" s="165"/>
    </row>
    <row r="232" spans="2:6" ht="15" thickBot="1" x14ac:dyDescent="0.4">
      <c r="B232" s="54" t="s">
        <v>493</v>
      </c>
      <c r="C232" s="157">
        <v>89500</v>
      </c>
      <c r="D232" s="157">
        <v>7160</v>
      </c>
      <c r="E232" s="157">
        <v>96660</v>
      </c>
      <c r="F232" s="165"/>
    </row>
    <row r="233" spans="2:6" ht="15" thickBot="1" x14ac:dyDescent="0.4">
      <c r="B233" s="54" t="s">
        <v>494</v>
      </c>
      <c r="C233" s="157">
        <v>21971</v>
      </c>
      <c r="D233" s="157">
        <v>5932</v>
      </c>
      <c r="E233" s="157">
        <v>27903</v>
      </c>
      <c r="F233" s="165"/>
    </row>
    <row r="234" spans="2:6" ht="15" thickBot="1" x14ac:dyDescent="0.4">
      <c r="B234" s="54" t="s">
        <v>495</v>
      </c>
      <c r="C234" s="157">
        <v>80000</v>
      </c>
      <c r="D234" s="157">
        <v>14400</v>
      </c>
      <c r="E234" s="157">
        <v>94400</v>
      </c>
      <c r="F234" s="165"/>
    </row>
    <row r="235" spans="2:6" ht="15" thickBot="1" x14ac:dyDescent="0.4">
      <c r="B235" s="54" t="s">
        <v>496</v>
      </c>
      <c r="C235" s="157">
        <v>45117</v>
      </c>
      <c r="D235" s="157">
        <v>6316</v>
      </c>
      <c r="E235" s="157">
        <v>51433</v>
      </c>
      <c r="F235" s="165"/>
    </row>
    <row r="236" spans="2:6" ht="15" thickBot="1" x14ac:dyDescent="0.4">
      <c r="B236" s="54" t="s">
        <v>497</v>
      </c>
      <c r="C236" s="157">
        <v>50545</v>
      </c>
      <c r="D236" s="54" t="s">
        <v>548</v>
      </c>
      <c r="E236" s="157">
        <v>50545</v>
      </c>
      <c r="F236" s="165"/>
    </row>
    <row r="237" spans="2:6" ht="15" thickBot="1" x14ac:dyDescent="0.4">
      <c r="B237" s="54" t="s">
        <v>498</v>
      </c>
      <c r="C237" s="157">
        <v>140000</v>
      </c>
      <c r="D237" s="54" t="s">
        <v>548</v>
      </c>
      <c r="E237" s="157">
        <v>140000</v>
      </c>
      <c r="F237" s="165"/>
    </row>
    <row r="238" spans="2:6" ht="15" thickBot="1" x14ac:dyDescent="0.4">
      <c r="B238" s="54" t="s">
        <v>499</v>
      </c>
      <c r="C238" s="157">
        <v>110000</v>
      </c>
      <c r="D238" s="157">
        <v>9900</v>
      </c>
      <c r="E238" s="157">
        <v>119900</v>
      </c>
      <c r="F238" s="165"/>
    </row>
    <row r="239" spans="2:6" ht="15" thickBot="1" x14ac:dyDescent="0.4">
      <c r="B239" s="54" t="s">
        <v>500</v>
      </c>
      <c r="C239" s="157">
        <v>68357</v>
      </c>
      <c r="D239" s="157">
        <v>17089</v>
      </c>
      <c r="E239" s="157">
        <v>85446</v>
      </c>
      <c r="F239" s="165"/>
    </row>
    <row r="240" spans="2:6" ht="15" thickBot="1" x14ac:dyDescent="0.4">
      <c r="B240" s="54" t="s">
        <v>501</v>
      </c>
      <c r="C240" s="157">
        <v>51800</v>
      </c>
      <c r="D240" s="157">
        <v>9842</v>
      </c>
      <c r="E240" s="157">
        <v>61642</v>
      </c>
      <c r="F240" s="165"/>
    </row>
    <row r="241" spans="2:11" ht="15" thickBot="1" x14ac:dyDescent="0.4">
      <c r="B241" s="54" t="s">
        <v>502</v>
      </c>
      <c r="C241" s="157">
        <v>97000</v>
      </c>
      <c r="D241" s="157">
        <v>8730</v>
      </c>
      <c r="E241" s="157">
        <v>105730</v>
      </c>
      <c r="F241" s="165"/>
    </row>
    <row r="244" spans="2:11" ht="21" x14ac:dyDescent="0.5">
      <c r="B244" s="149" t="s">
        <v>549</v>
      </c>
    </row>
    <row r="245" spans="2:11" ht="15" thickBot="1" x14ac:dyDescent="0.4"/>
    <row r="246" spans="2:11" ht="16.5" thickBot="1" x14ac:dyDescent="0.45">
      <c r="B246" s="158" t="s">
        <v>173</v>
      </c>
      <c r="C246" s="158" t="s">
        <v>175</v>
      </c>
      <c r="D246" s="158" t="s">
        <v>176</v>
      </c>
      <c r="E246" s="158" t="s">
        <v>550</v>
      </c>
      <c r="F246" s="158"/>
      <c r="G246" s="158"/>
      <c r="H246" s="158"/>
      <c r="I246" s="158"/>
      <c r="K246" t="s">
        <v>553</v>
      </c>
    </row>
    <row r="247" spans="2:11" ht="16.5" thickBot="1" x14ac:dyDescent="0.45">
      <c r="B247" s="54" t="s">
        <v>190</v>
      </c>
      <c r="C247" s="54" t="s">
        <v>551</v>
      </c>
      <c r="D247" s="157">
        <v>11649</v>
      </c>
      <c r="E247" s="157">
        <v>802</v>
      </c>
      <c r="F247" s="165"/>
      <c r="G247" s="154" t="s">
        <v>552</v>
      </c>
      <c r="H247" s="62"/>
      <c r="I247" s="154" t="s">
        <v>181</v>
      </c>
    </row>
    <row r="248" spans="2:11" ht="15" thickBot="1" x14ac:dyDescent="0.4">
      <c r="B248" s="54" t="s">
        <v>190</v>
      </c>
      <c r="C248" s="54" t="s">
        <v>193</v>
      </c>
      <c r="D248" s="157">
        <v>7718</v>
      </c>
      <c r="E248" s="157">
        <v>876</v>
      </c>
      <c r="F248" s="165"/>
      <c r="G248" s="62"/>
      <c r="H248" s="62" t="s">
        <v>173</v>
      </c>
      <c r="I248" s="159" t="str">
        <f>INDEX(B247:C256,2,2)</f>
        <v>Kryptis</v>
      </c>
    </row>
    <row r="249" spans="2:11" ht="15" thickBot="1" x14ac:dyDescent="0.4">
      <c r="B249" s="54" t="s">
        <v>190</v>
      </c>
      <c r="C249" s="54" t="s">
        <v>194</v>
      </c>
      <c r="D249" s="157">
        <v>15033</v>
      </c>
      <c r="E249" s="157">
        <v>469</v>
      </c>
      <c r="F249" s="165"/>
      <c r="G249" s="62"/>
      <c r="H249" s="62" t="s">
        <v>550</v>
      </c>
      <c r="I249" s="159"/>
    </row>
    <row r="250" spans="2:11" ht="15" thickBot="1" x14ac:dyDescent="0.4">
      <c r="B250" s="54" t="s">
        <v>190</v>
      </c>
      <c r="C250" s="54" t="s">
        <v>191</v>
      </c>
      <c r="D250" s="157">
        <v>18701</v>
      </c>
      <c r="E250" s="157">
        <v>985</v>
      </c>
      <c r="F250" s="165"/>
      <c r="G250" s="62"/>
      <c r="H250" s="62"/>
      <c r="I250" s="62"/>
    </row>
    <row r="251" spans="2:11" ht="16.5" thickBot="1" x14ac:dyDescent="0.45">
      <c r="B251" s="54" t="s">
        <v>182</v>
      </c>
      <c r="C251" s="54" t="s">
        <v>183</v>
      </c>
      <c r="D251" s="157">
        <v>14432</v>
      </c>
      <c r="E251" s="157">
        <v>240</v>
      </c>
      <c r="F251" s="165"/>
      <c r="G251" s="154" t="s">
        <v>554</v>
      </c>
      <c r="H251" s="62"/>
      <c r="I251" s="154" t="s">
        <v>183</v>
      </c>
    </row>
    <row r="252" spans="2:11" ht="15" thickBot="1" x14ac:dyDescent="0.4">
      <c r="B252" s="54" t="s">
        <v>182</v>
      </c>
      <c r="C252" s="54" t="s">
        <v>185</v>
      </c>
      <c r="D252" s="157">
        <v>17990</v>
      </c>
      <c r="E252" s="157">
        <v>1056</v>
      </c>
      <c r="F252" s="165"/>
      <c r="G252" s="62"/>
      <c r="H252" s="62" t="s">
        <v>173</v>
      </c>
      <c r="I252" s="62">
        <f>MATCH(I251,C247:C256,0)</f>
        <v>5</v>
      </c>
    </row>
    <row r="253" spans="2:11" ht="15" thickBot="1" x14ac:dyDescent="0.4">
      <c r="B253" s="54" t="s">
        <v>182</v>
      </c>
      <c r="C253" s="54" t="s">
        <v>184</v>
      </c>
      <c r="D253" s="157">
        <v>11022</v>
      </c>
      <c r="E253" s="157">
        <v>550</v>
      </c>
      <c r="F253" s="165"/>
      <c r="G253" s="62"/>
      <c r="H253" s="62" t="s">
        <v>550</v>
      </c>
      <c r="I253" s="62"/>
    </row>
    <row r="254" spans="2:11" ht="15" thickBot="1" x14ac:dyDescent="0.4">
      <c r="B254" s="54" t="s">
        <v>177</v>
      </c>
      <c r="C254" s="54" t="s">
        <v>179</v>
      </c>
      <c r="D254" s="157">
        <v>17760</v>
      </c>
      <c r="E254" s="157">
        <v>800</v>
      </c>
      <c r="F254" s="165"/>
      <c r="G254" s="62"/>
      <c r="H254" s="62"/>
      <c r="I254" s="62"/>
      <c r="K254" t="str">
        <f>PROPER(K253)</f>
        <v/>
      </c>
    </row>
    <row r="255" spans="2:11" ht="16.5" thickBot="1" x14ac:dyDescent="0.45">
      <c r="B255" s="54" t="s">
        <v>177</v>
      </c>
      <c r="C255" s="54" t="s">
        <v>181</v>
      </c>
      <c r="D255" s="157">
        <v>30400</v>
      </c>
      <c r="E255" s="157">
        <v>787</v>
      </c>
      <c r="F255" s="165"/>
      <c r="G255" s="154" t="s">
        <v>554</v>
      </c>
      <c r="H255" s="62"/>
      <c r="I255" s="154" t="s">
        <v>181</v>
      </c>
    </row>
    <row r="256" spans="2:11" ht="15" thickBot="1" x14ac:dyDescent="0.4">
      <c r="B256" s="54" t="s">
        <v>177</v>
      </c>
      <c r="C256" s="54" t="s">
        <v>186</v>
      </c>
      <c r="D256" s="157">
        <v>20400</v>
      </c>
      <c r="E256" s="157">
        <v>614</v>
      </c>
      <c r="F256" s="165"/>
      <c r="G256" s="62"/>
      <c r="H256" s="62" t="s">
        <v>173</v>
      </c>
      <c r="I256" s="62" t="str">
        <f>INDEX(B247:B256,MATCH(I255,C247:C256,0))</f>
        <v>Utility</v>
      </c>
    </row>
    <row r="257" spans="2:9" x14ac:dyDescent="0.35">
      <c r="H257" s="62" t="s">
        <v>550</v>
      </c>
      <c r="I257">
        <f>INDEX(E247:E256,MATCH(I255,C247:C256,0))</f>
        <v>787</v>
      </c>
    </row>
    <row r="259" spans="2:9" x14ac:dyDescent="0.35">
      <c r="B259" s="148" t="s">
        <v>555</v>
      </c>
    </row>
    <row r="260" spans="2:9" x14ac:dyDescent="0.35">
      <c r="B260" s="148" t="s">
        <v>556</v>
      </c>
    </row>
    <row r="263" spans="2:9" x14ac:dyDescent="0.35">
      <c r="B263" t="s">
        <v>557</v>
      </c>
    </row>
    <row r="264" spans="2:9" x14ac:dyDescent="0.35">
      <c r="B264" t="s">
        <v>558</v>
      </c>
    </row>
    <row r="265" spans="2:9" x14ac:dyDescent="0.35">
      <c r="B265" t="s">
        <v>559</v>
      </c>
    </row>
    <row r="266" spans="2:9" x14ac:dyDescent="0.35">
      <c r="B266" t="s">
        <v>560</v>
      </c>
    </row>
    <row r="267" spans="2:9" x14ac:dyDescent="0.35">
      <c r="B267" t="s">
        <v>561</v>
      </c>
    </row>
    <row r="268" spans="2:9" x14ac:dyDescent="0.35">
      <c r="B268" t="s">
        <v>562</v>
      </c>
    </row>
    <row r="269" spans="2:9" x14ac:dyDescent="0.35">
      <c r="B269" t="s">
        <v>563</v>
      </c>
    </row>
    <row r="270" spans="2:9" x14ac:dyDescent="0.35">
      <c r="B270" t="s">
        <v>564</v>
      </c>
    </row>
    <row r="271" spans="2:9" x14ac:dyDescent="0.35">
      <c r="B271" t="s">
        <v>565</v>
      </c>
    </row>
    <row r="272" spans="2:9" x14ac:dyDescent="0.35">
      <c r="B272" t="s">
        <v>566</v>
      </c>
    </row>
    <row r="273" spans="2:2" x14ac:dyDescent="0.35">
      <c r="B273" t="s">
        <v>567</v>
      </c>
    </row>
    <row r="274" spans="2:2" x14ac:dyDescent="0.35">
      <c r="B274" t="s">
        <v>568</v>
      </c>
    </row>
    <row r="275" spans="2:2" x14ac:dyDescent="0.35">
      <c r="B275" t="s">
        <v>569</v>
      </c>
    </row>
    <row r="276" spans="2:2" x14ac:dyDescent="0.35">
      <c r="B276" t="s">
        <v>570</v>
      </c>
    </row>
    <row r="277" spans="2:2" x14ac:dyDescent="0.35">
      <c r="B277" t="s">
        <v>571</v>
      </c>
    </row>
  </sheetData>
  <sortState xmlns:xlrd2="http://schemas.microsoft.com/office/spreadsheetml/2017/richdata2" ref="A37:D56">
    <sortCondition ref="A37:A56" customList="Productivity,Utility,Game"/>
  </sortState>
  <mergeCells count="1">
    <mergeCell ref="B100:D100"/>
  </mergeCells>
  <phoneticPr fontId="24" type="noConversion"/>
  <dataValidations count="7">
    <dataValidation type="list" errorStyle="warning" allowBlank="1" showInputMessage="1" showErrorMessage="1" error="Pls select from the list only." promptTitle="Select div " prompt="Please make a selection from the list." sqref="A85:A95" xr:uid="{643ED4C7-FA59-4979-8323-EC38CF033F83}">
      <formula1>"Game, Productivity, Utility"</formula1>
    </dataValidation>
    <dataValidation type="date" errorStyle="warning" operator="greaterThan" allowBlank="1" showInputMessage="1" showErrorMessage="1" error="You can't enter today's date _x000a_Add a future date only  ..." prompt="Pls input start date" sqref="B85:B95" xr:uid="{441585FC-7377-4224-9F8A-325ADE2682A2}">
      <formula1>TODAY()</formula1>
    </dataValidation>
    <dataValidation type="whole" errorStyle="warning" allowBlank="1" showInputMessage="1" showErrorMessage="1" error="Pls make sure the number is between 1k to 2k only." sqref="C85:C95" xr:uid="{3BD16055-AA4A-4388-A2E6-6BE8E265A92F}">
      <formula1>1000</formula1>
      <formula2>2000</formula2>
    </dataValidation>
    <dataValidation type="textLength" operator="equal" allowBlank="1" showInputMessage="1" showErrorMessage="1" error="Code character should be 5 only " sqref="D85:D95" xr:uid="{EF15D5B9-2B88-4EDC-8E9F-A822F7769017}">
      <formula1>5</formula1>
    </dataValidation>
    <dataValidation type="textLength" operator="greaterThan" allowBlank="1" showInputMessage="1" showErrorMessage="1" sqref="E85:F95" xr:uid="{8A8ADD4B-7EED-4AB9-99FE-D56B0B589BC0}">
      <formula1>20</formula1>
    </dataValidation>
    <dataValidation type="list" allowBlank="1" showInputMessage="1" showErrorMessage="1" sqref="G119" xr:uid="{ED455D60-3CC7-427F-AE51-B5DE5B28B464}">
      <formula1>$A$118:$A$143</formula1>
    </dataValidation>
    <dataValidation type="list" allowBlank="1" showInputMessage="1" showErrorMessage="1" sqref="I247 I251 I255" xr:uid="{251523AD-102B-4499-A790-31FC70E7DE5E}">
      <formula1>$C$247:$C$256</formula1>
    </dataValidation>
  </dataValidation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64A5-6C57-4F1D-9DF7-1199C112D1D8}">
  <sheetPr>
    <tabColor theme="7" tint="0.39997558519241921"/>
    <pageSetUpPr fitToPage="1"/>
  </sheetPr>
  <dimension ref="B1:M58"/>
  <sheetViews>
    <sheetView workbookViewId="0">
      <pane ySplit="1" topLeftCell="A2" activePane="bottomLeft" state="frozen"/>
      <selection pane="bottomLeft" activeCell="F59" sqref="F59"/>
    </sheetView>
  </sheetViews>
  <sheetFormatPr defaultRowHeight="14.5" x14ac:dyDescent="0.35"/>
  <cols>
    <col min="1" max="1" width="10.26953125" style="79" customWidth="1"/>
    <col min="2" max="2" width="20.6328125" style="79" customWidth="1"/>
    <col min="3" max="9" width="8.7265625" style="79"/>
    <col min="10" max="10" width="12.7265625" style="79" bestFit="1" customWidth="1"/>
    <col min="11" max="11" width="8.7265625" style="79"/>
    <col min="12" max="12" width="10.6328125" style="82" customWidth="1"/>
    <col min="13" max="13" width="23.6328125" style="79" customWidth="1"/>
    <col min="14" max="16384" width="8.7265625" style="79"/>
  </cols>
  <sheetData>
    <row r="1" spans="2:13" s="133" customFormat="1" x14ac:dyDescent="0.35"/>
    <row r="2" spans="2:13" ht="14.5" customHeight="1" x14ac:dyDescent="0.35">
      <c r="B2" s="132" t="s">
        <v>278</v>
      </c>
      <c r="C2" s="132"/>
      <c r="D2" s="132"/>
      <c r="E2" s="132"/>
      <c r="F2" s="132"/>
      <c r="G2" s="132"/>
      <c r="H2" s="132"/>
      <c r="I2" s="132"/>
      <c r="J2" s="132"/>
      <c r="K2" s="132"/>
      <c r="L2" s="132"/>
      <c r="M2" s="78"/>
    </row>
    <row r="3" spans="2:13" s="133" customFormat="1" x14ac:dyDescent="0.35"/>
    <row r="4" spans="2:13" s="95" customFormat="1" ht="20" customHeight="1" x14ac:dyDescent="0.35">
      <c r="B4" s="95" t="s">
        <v>195</v>
      </c>
      <c r="C4" s="95" t="s">
        <v>196</v>
      </c>
      <c r="D4" s="95" t="s">
        <v>197</v>
      </c>
      <c r="E4" s="95" t="s">
        <v>198</v>
      </c>
      <c r="F4" s="95" t="s">
        <v>199</v>
      </c>
      <c r="G4" s="95" t="s">
        <v>200</v>
      </c>
      <c r="H4" s="95" t="s">
        <v>114</v>
      </c>
      <c r="I4" s="95" t="s">
        <v>201</v>
      </c>
      <c r="J4" s="95" t="s">
        <v>202</v>
      </c>
      <c r="K4" s="95" t="s">
        <v>203</v>
      </c>
      <c r="L4" s="95" t="s">
        <v>277</v>
      </c>
      <c r="M4" s="95" t="s">
        <v>279</v>
      </c>
    </row>
    <row r="5" spans="2:13" ht="19" x14ac:dyDescent="0.45">
      <c r="B5" s="83" t="s">
        <v>335</v>
      </c>
      <c r="C5" s="80">
        <v>78</v>
      </c>
      <c r="D5" s="80">
        <v>82</v>
      </c>
      <c r="E5" s="80">
        <v>75</v>
      </c>
      <c r="F5" s="80">
        <v>88</v>
      </c>
      <c r="G5" s="80">
        <v>80</v>
      </c>
      <c r="H5" s="80">
        <f>SUM(Table19[[#This Row],[OS]:[TC]])</f>
        <v>403</v>
      </c>
      <c r="I5" s="80">
        <f>Table19[[#This Row],[Total]]/5</f>
        <v>80.599999999999994</v>
      </c>
      <c r="J5" s="80" t="str">
        <f>IF(Table19[[#This Row],[%]]&gt;60,"Pass","Fail")</f>
        <v>Pass</v>
      </c>
      <c r="K5" s="80" t="str">
        <f>IF(I6&gt;=90,"A",IF(I6&gt;=75,"B",IF(I6&gt;=60,"C",IF(I6&gt;=40,"D","F"))))</f>
        <v>C</v>
      </c>
      <c r="L5" s="90">
        <f t="shared" ref="L5:L36" si="0">RANK(I5,$I$5:$I$56,)</f>
        <v>25</v>
      </c>
    </row>
    <row r="6" spans="2:13" ht="19" x14ac:dyDescent="0.45">
      <c r="B6" s="83" t="s">
        <v>204</v>
      </c>
      <c r="C6" s="80">
        <v>65</v>
      </c>
      <c r="D6" s="80">
        <v>72</v>
      </c>
      <c r="E6" s="80">
        <v>69</v>
      </c>
      <c r="F6" s="80">
        <v>74</v>
      </c>
      <c r="G6" s="80">
        <v>70</v>
      </c>
      <c r="H6" s="80">
        <f>SUM(Table19[[#This Row],[OS]:[TC]])</f>
        <v>350</v>
      </c>
      <c r="I6" s="80">
        <f>Table19[[#This Row],[Total]]/5</f>
        <v>70</v>
      </c>
      <c r="J6" s="80" t="str">
        <f>IF(Table19[[#This Row],[%]]&gt;60,"Pass","Fail")</f>
        <v>Pass</v>
      </c>
      <c r="K6" s="80" t="str">
        <f t="shared" ref="K6:K19" si="1">IF(I7&gt;=90,"A",IF(I7&gt;=60,"B",IF(I7&gt;=50,"C",IF(I7&gt;=30,"D","F"))))</f>
        <v>A</v>
      </c>
      <c r="L6" s="89">
        <f t="shared" si="0"/>
        <v>36</v>
      </c>
    </row>
    <row r="7" spans="2:13" ht="19" x14ac:dyDescent="0.45">
      <c r="B7" s="83" t="s">
        <v>205</v>
      </c>
      <c r="C7" s="80">
        <v>91</v>
      </c>
      <c r="D7" s="80">
        <v>89</v>
      </c>
      <c r="E7" s="80">
        <v>94</v>
      </c>
      <c r="F7" s="80">
        <v>90</v>
      </c>
      <c r="G7" s="80">
        <v>92</v>
      </c>
      <c r="H7" s="80">
        <f>SUM(Table19[[#This Row],[OS]:[TC]])</f>
        <v>456</v>
      </c>
      <c r="I7" s="80">
        <f>Table19[[#This Row],[Total]]/5</f>
        <v>91.2</v>
      </c>
      <c r="J7" s="80" t="str">
        <f>IF(Table19[[#This Row],[%]]&gt;60,"Pass","Fail")</f>
        <v>Pass</v>
      </c>
      <c r="K7" s="80" t="str">
        <f t="shared" si="1"/>
        <v>C</v>
      </c>
      <c r="L7" s="89">
        <f t="shared" si="0"/>
        <v>11</v>
      </c>
    </row>
    <row r="8" spans="2:13" ht="19" x14ac:dyDescent="0.45">
      <c r="B8" s="83" t="s">
        <v>206</v>
      </c>
      <c r="C8" s="80">
        <v>55</v>
      </c>
      <c r="D8" s="80">
        <v>61</v>
      </c>
      <c r="E8" s="80">
        <v>58</v>
      </c>
      <c r="F8" s="80">
        <v>64</v>
      </c>
      <c r="G8" s="80">
        <v>60</v>
      </c>
      <c r="H8" s="80">
        <f>SUM(Table19[[#This Row],[OS]:[TC]])</f>
        <v>298</v>
      </c>
      <c r="I8" s="80">
        <f>Table19[[#This Row],[Total]]/5</f>
        <v>59.6</v>
      </c>
      <c r="J8" s="80" t="str">
        <f>IF(Table19[[#This Row],[%]]&gt;60,"Pass","Fail")</f>
        <v>Fail</v>
      </c>
      <c r="K8" s="80" t="str">
        <f t="shared" si="1"/>
        <v>B</v>
      </c>
      <c r="L8" s="89">
        <f t="shared" si="0"/>
        <v>48</v>
      </c>
    </row>
    <row r="9" spans="2:13" ht="19" x14ac:dyDescent="0.45">
      <c r="B9" s="83" t="s">
        <v>208</v>
      </c>
      <c r="C9" s="80">
        <v>84</v>
      </c>
      <c r="D9" s="80">
        <v>79</v>
      </c>
      <c r="E9" s="80">
        <v>81</v>
      </c>
      <c r="F9" s="80">
        <v>86</v>
      </c>
      <c r="G9" s="80">
        <v>83</v>
      </c>
      <c r="H9" s="80">
        <f>SUM(Table19[[#This Row],[OS]:[TC]])</f>
        <v>413</v>
      </c>
      <c r="I9" s="80">
        <f>Table19[[#This Row],[Total]]/5</f>
        <v>82.6</v>
      </c>
      <c r="J9" s="80" t="str">
        <f>IF(Table19[[#This Row],[%]]&gt;60,"Pass","Fail")</f>
        <v>Pass</v>
      </c>
      <c r="K9" s="80" t="str">
        <f t="shared" si="1"/>
        <v>B</v>
      </c>
      <c r="L9" s="89">
        <f t="shared" si="0"/>
        <v>22</v>
      </c>
    </row>
    <row r="10" spans="2:13" ht="19" x14ac:dyDescent="0.45">
      <c r="B10" s="83" t="s">
        <v>209</v>
      </c>
      <c r="C10" s="80">
        <v>73</v>
      </c>
      <c r="D10" s="80">
        <v>76</v>
      </c>
      <c r="E10" s="80">
        <v>71</v>
      </c>
      <c r="F10" s="80">
        <v>75</v>
      </c>
      <c r="G10" s="80">
        <v>78</v>
      </c>
      <c r="H10" s="80">
        <f>SUM(Table19[[#This Row],[OS]:[TC]])</f>
        <v>373</v>
      </c>
      <c r="I10" s="80">
        <f>Table19[[#This Row],[Total]]/5</f>
        <v>74.599999999999994</v>
      </c>
      <c r="J10" s="80" t="str">
        <f>IF(Table19[[#This Row],[%]]&gt;60,"Pass","Fail")</f>
        <v>Pass</v>
      </c>
      <c r="K10" s="80" t="str">
        <f t="shared" si="1"/>
        <v>A</v>
      </c>
      <c r="L10" s="89">
        <f t="shared" si="0"/>
        <v>30</v>
      </c>
    </row>
    <row r="11" spans="2:13" ht="19" x14ac:dyDescent="0.45">
      <c r="B11" s="83" t="s">
        <v>210</v>
      </c>
      <c r="C11" s="80">
        <v>88</v>
      </c>
      <c r="D11" s="80">
        <v>92</v>
      </c>
      <c r="E11" s="80">
        <v>90</v>
      </c>
      <c r="F11" s="80">
        <v>91</v>
      </c>
      <c r="G11" s="80">
        <v>89</v>
      </c>
      <c r="H11" s="80">
        <f>SUM(Table19[[#This Row],[OS]:[TC]])</f>
        <v>450</v>
      </c>
      <c r="I11" s="80">
        <f>Table19[[#This Row],[Total]]/5</f>
        <v>90</v>
      </c>
      <c r="J11" s="80" t="str">
        <f>IF(Table19[[#This Row],[%]]&gt;60,"Pass","Fail")</f>
        <v>Pass</v>
      </c>
      <c r="K11" s="80" t="str">
        <f t="shared" si="1"/>
        <v>B</v>
      </c>
      <c r="L11" s="89">
        <f t="shared" si="0"/>
        <v>13</v>
      </c>
    </row>
    <row r="12" spans="2:13" ht="19" x14ac:dyDescent="0.45">
      <c r="B12" s="83" t="s">
        <v>211</v>
      </c>
      <c r="C12" s="80">
        <v>67</v>
      </c>
      <c r="D12" s="80">
        <v>70</v>
      </c>
      <c r="E12" s="80">
        <v>68</v>
      </c>
      <c r="F12" s="80">
        <v>72</v>
      </c>
      <c r="G12" s="80">
        <v>69</v>
      </c>
      <c r="H12" s="80">
        <f>SUM(Table19[[#This Row],[OS]:[TC]])</f>
        <v>346</v>
      </c>
      <c r="I12" s="80">
        <f>Table19[[#This Row],[Total]]/5</f>
        <v>69.2</v>
      </c>
      <c r="J12" s="80" t="str">
        <f>IF(Table19[[#This Row],[%]]&gt;60,"Pass","Fail")</f>
        <v>Pass</v>
      </c>
      <c r="K12" s="80" t="str">
        <f t="shared" si="1"/>
        <v>A</v>
      </c>
      <c r="L12" s="89">
        <f t="shared" si="0"/>
        <v>37</v>
      </c>
    </row>
    <row r="13" spans="2:13" ht="19" x14ac:dyDescent="0.45">
      <c r="B13" s="83" t="s">
        <v>212</v>
      </c>
      <c r="C13" s="80">
        <v>95</v>
      </c>
      <c r="D13" s="80">
        <v>93</v>
      </c>
      <c r="E13" s="80">
        <v>97</v>
      </c>
      <c r="F13" s="80">
        <v>96</v>
      </c>
      <c r="G13" s="80">
        <v>94</v>
      </c>
      <c r="H13" s="80">
        <f>SUM(Table19[[#This Row],[OS]:[TC]])</f>
        <v>475</v>
      </c>
      <c r="I13" s="80">
        <f>Table19[[#This Row],[Total]]/5</f>
        <v>95</v>
      </c>
      <c r="J13" s="80" t="str">
        <f>IF(Table19[[#This Row],[%]]&gt;60,"Pass","Fail")</f>
        <v>Pass</v>
      </c>
      <c r="K13" s="80" t="str">
        <f t="shared" si="1"/>
        <v>B</v>
      </c>
      <c r="L13" s="89">
        <f t="shared" si="0"/>
        <v>5</v>
      </c>
    </row>
    <row r="14" spans="2:13" ht="19" x14ac:dyDescent="0.45">
      <c r="B14" s="83" t="s">
        <v>213</v>
      </c>
      <c r="C14" s="80">
        <v>58</v>
      </c>
      <c r="D14" s="80">
        <v>63</v>
      </c>
      <c r="E14" s="80">
        <v>60</v>
      </c>
      <c r="F14" s="80">
        <v>65</v>
      </c>
      <c r="G14" s="80">
        <v>62</v>
      </c>
      <c r="H14" s="80">
        <f>SUM(Table19[[#This Row],[OS]:[TC]])</f>
        <v>308</v>
      </c>
      <c r="I14" s="80">
        <f>Table19[[#This Row],[Total]]/5</f>
        <v>61.6</v>
      </c>
      <c r="J14" s="80" t="str">
        <f>IF(Table19[[#This Row],[%]]&gt;60,"Pass","Fail")</f>
        <v>Pass</v>
      </c>
      <c r="K14" s="80" t="str">
        <f t="shared" si="1"/>
        <v>B</v>
      </c>
      <c r="L14" s="89">
        <f t="shared" si="0"/>
        <v>45</v>
      </c>
    </row>
    <row r="15" spans="2:13" ht="19" x14ac:dyDescent="0.45">
      <c r="B15" s="83" t="s">
        <v>214</v>
      </c>
      <c r="C15" s="80">
        <v>81</v>
      </c>
      <c r="D15" s="80">
        <v>85</v>
      </c>
      <c r="E15" s="80">
        <v>83</v>
      </c>
      <c r="F15" s="80">
        <v>80</v>
      </c>
      <c r="G15" s="80">
        <v>84</v>
      </c>
      <c r="H15" s="80">
        <f>SUM(Table19[[#This Row],[OS]:[TC]])</f>
        <v>413</v>
      </c>
      <c r="I15" s="80">
        <f>Table19[[#This Row],[Total]]/5</f>
        <v>82.6</v>
      </c>
      <c r="J15" s="80" t="str">
        <f>IF(Table19[[#This Row],[%]]&gt;60,"Pass","Fail")</f>
        <v>Pass</v>
      </c>
      <c r="K15" s="80" t="str">
        <f t="shared" si="1"/>
        <v>B</v>
      </c>
      <c r="L15" s="89">
        <f t="shared" si="0"/>
        <v>22</v>
      </c>
    </row>
    <row r="16" spans="2:13" ht="19" x14ac:dyDescent="0.45">
      <c r="B16" s="83" t="s">
        <v>215</v>
      </c>
      <c r="C16" s="80">
        <v>74</v>
      </c>
      <c r="D16" s="80">
        <v>77</v>
      </c>
      <c r="E16" s="80">
        <v>79</v>
      </c>
      <c r="F16" s="80">
        <v>76</v>
      </c>
      <c r="G16" s="80">
        <v>75</v>
      </c>
      <c r="H16" s="80">
        <f>SUM(Table19[[#This Row],[OS]:[TC]])</f>
        <v>381</v>
      </c>
      <c r="I16" s="80">
        <f>Table19[[#This Row],[Total]]/5</f>
        <v>76.2</v>
      </c>
      <c r="J16" s="80" t="str">
        <f>IF(Table19[[#This Row],[%]]&gt;60,"Pass","Fail")</f>
        <v>Pass</v>
      </c>
      <c r="K16" s="80" t="str">
        <f t="shared" si="1"/>
        <v>B</v>
      </c>
      <c r="L16" s="89">
        <f t="shared" si="0"/>
        <v>27</v>
      </c>
    </row>
    <row r="17" spans="2:12" ht="19" x14ac:dyDescent="0.45">
      <c r="B17" s="83" t="s">
        <v>216</v>
      </c>
      <c r="C17" s="80">
        <v>90</v>
      </c>
      <c r="D17" s="80">
        <v>87</v>
      </c>
      <c r="E17" s="80">
        <v>91</v>
      </c>
      <c r="F17" s="80">
        <v>88</v>
      </c>
      <c r="G17" s="80">
        <v>89</v>
      </c>
      <c r="H17" s="80">
        <f>SUM(Table19[[#This Row],[OS]:[TC]])</f>
        <v>445</v>
      </c>
      <c r="I17" s="80">
        <f>Table19[[#This Row],[Total]]/5</f>
        <v>89</v>
      </c>
      <c r="J17" s="80" t="str">
        <f>IF(Table19[[#This Row],[%]]&gt;60,"Pass","Fail")</f>
        <v>Pass</v>
      </c>
      <c r="K17" s="80" t="str">
        <f t="shared" si="1"/>
        <v>B</v>
      </c>
      <c r="L17" s="89">
        <f t="shared" si="0"/>
        <v>15</v>
      </c>
    </row>
    <row r="18" spans="2:12" ht="19" x14ac:dyDescent="0.45">
      <c r="B18" s="83" t="s">
        <v>217</v>
      </c>
      <c r="C18" s="80">
        <v>62</v>
      </c>
      <c r="D18" s="80">
        <v>66</v>
      </c>
      <c r="E18" s="80">
        <v>64</v>
      </c>
      <c r="F18" s="80">
        <v>68</v>
      </c>
      <c r="G18" s="80">
        <v>65</v>
      </c>
      <c r="H18" s="80">
        <f>SUM(Table19[[#This Row],[OS]:[TC]])</f>
        <v>325</v>
      </c>
      <c r="I18" s="80">
        <f>Table19[[#This Row],[Total]]/5</f>
        <v>65</v>
      </c>
      <c r="J18" s="80" t="str">
        <f>IF(Table19[[#This Row],[%]]&gt;60,"Pass","Fail")</f>
        <v>Pass</v>
      </c>
      <c r="K18" s="80" t="str">
        <f t="shared" si="1"/>
        <v>B</v>
      </c>
      <c r="L18" s="89">
        <f t="shared" si="0"/>
        <v>41</v>
      </c>
    </row>
    <row r="19" spans="2:12" ht="19" x14ac:dyDescent="0.45">
      <c r="B19" s="83" t="s">
        <v>218</v>
      </c>
      <c r="C19" s="80">
        <v>85</v>
      </c>
      <c r="D19" s="80">
        <v>88</v>
      </c>
      <c r="E19" s="80">
        <v>86</v>
      </c>
      <c r="F19" s="80">
        <v>90</v>
      </c>
      <c r="G19" s="80">
        <v>87</v>
      </c>
      <c r="H19" s="80">
        <f>SUM(Table19[[#This Row],[OS]:[TC]])</f>
        <v>436</v>
      </c>
      <c r="I19" s="80">
        <f>Table19[[#This Row],[Total]]/5</f>
        <v>87.2</v>
      </c>
      <c r="J19" s="80" t="str">
        <f>IF(Table19[[#This Row],[%]]&gt;60,"Pass","Fail")</f>
        <v>Pass</v>
      </c>
      <c r="K19" s="80" t="str">
        <f t="shared" si="1"/>
        <v>B</v>
      </c>
      <c r="L19" s="89">
        <f t="shared" si="0"/>
        <v>18</v>
      </c>
    </row>
    <row r="20" spans="2:12" ht="19" x14ac:dyDescent="0.45">
      <c r="B20" s="83" t="s">
        <v>219</v>
      </c>
      <c r="C20" s="80">
        <v>70</v>
      </c>
      <c r="D20" s="80">
        <v>73</v>
      </c>
      <c r="E20" s="80">
        <v>71</v>
      </c>
      <c r="F20" s="80">
        <v>74</v>
      </c>
      <c r="G20" s="80">
        <v>72</v>
      </c>
      <c r="H20" s="80">
        <f>SUM(Table19[[#This Row],[OS]:[TC]])</f>
        <v>360</v>
      </c>
      <c r="I20" s="80">
        <f>Table19[[#This Row],[Total]]/5</f>
        <v>72</v>
      </c>
      <c r="J20" s="80" t="str">
        <f>IF(Table19[[#This Row],[%]]&gt;60,"Pass","Fail")</f>
        <v>Pass</v>
      </c>
      <c r="K20" s="80" t="str">
        <f t="shared" ref="K20:K36" si="2">IF(I21&gt;=90,"A",IF(I21&gt;=60,"B",IF(I21&gt;=50,"C",IF(I21&gt;=30,"D","F"))))</f>
        <v>A</v>
      </c>
      <c r="L20" s="89">
        <f t="shared" si="0"/>
        <v>33</v>
      </c>
    </row>
    <row r="21" spans="2:12" ht="19" x14ac:dyDescent="0.45">
      <c r="B21" s="83" t="s">
        <v>220</v>
      </c>
      <c r="C21" s="80">
        <v>93</v>
      </c>
      <c r="D21" s="80">
        <v>95</v>
      </c>
      <c r="E21" s="80">
        <v>92</v>
      </c>
      <c r="F21" s="80">
        <v>94</v>
      </c>
      <c r="G21" s="80">
        <v>96</v>
      </c>
      <c r="H21" s="80">
        <f>SUM(Table19[[#This Row],[OS]:[TC]])</f>
        <v>470</v>
      </c>
      <c r="I21" s="80">
        <f>Table19[[#This Row],[Total]]/5</f>
        <v>94</v>
      </c>
      <c r="J21" s="80" t="str">
        <f>IF(Table19[[#This Row],[%]]&gt;60,"Pass","Fail")</f>
        <v>Pass</v>
      </c>
      <c r="K21" s="85" t="str">
        <f t="shared" si="2"/>
        <v>C</v>
      </c>
      <c r="L21" s="87">
        <f t="shared" si="0"/>
        <v>7</v>
      </c>
    </row>
    <row r="22" spans="2:12" ht="19" x14ac:dyDescent="0.45">
      <c r="B22" s="83" t="s">
        <v>221</v>
      </c>
      <c r="C22" s="80">
        <v>57</v>
      </c>
      <c r="D22" s="80">
        <v>59</v>
      </c>
      <c r="E22" s="80">
        <v>61</v>
      </c>
      <c r="F22" s="80">
        <v>60</v>
      </c>
      <c r="G22" s="80">
        <v>58</v>
      </c>
      <c r="H22" s="80">
        <f>SUM(Table19[[#This Row],[OS]:[TC]])</f>
        <v>295</v>
      </c>
      <c r="I22" s="80">
        <f>Table19[[#This Row],[Total]]/5</f>
        <v>59</v>
      </c>
      <c r="J22" s="80" t="str">
        <f>IF(Table19[[#This Row],[%]]&gt;60,"Pass","Fail")</f>
        <v>Fail</v>
      </c>
      <c r="K22" s="85" t="str">
        <f t="shared" si="2"/>
        <v>B</v>
      </c>
      <c r="L22" s="87">
        <f t="shared" si="0"/>
        <v>49</v>
      </c>
    </row>
    <row r="23" spans="2:12" ht="19" x14ac:dyDescent="0.45">
      <c r="B23" s="83" t="s">
        <v>222</v>
      </c>
      <c r="C23" s="80">
        <v>82</v>
      </c>
      <c r="D23" s="80">
        <v>80</v>
      </c>
      <c r="E23" s="80">
        <v>84</v>
      </c>
      <c r="F23" s="80">
        <v>83</v>
      </c>
      <c r="G23" s="80">
        <v>81</v>
      </c>
      <c r="H23" s="80">
        <f>SUM(Table19[[#This Row],[OS]:[TC]])</f>
        <v>410</v>
      </c>
      <c r="I23" s="80">
        <f>Table19[[#This Row],[Total]]/5</f>
        <v>82</v>
      </c>
      <c r="J23" s="80" t="str">
        <f>IF(Table19[[#This Row],[%]]&gt;60,"Pass","Fail")</f>
        <v>Pass</v>
      </c>
      <c r="K23" s="85" t="str">
        <f t="shared" si="2"/>
        <v>B</v>
      </c>
      <c r="L23" s="87">
        <f t="shared" si="0"/>
        <v>24</v>
      </c>
    </row>
    <row r="24" spans="2:12" ht="19" x14ac:dyDescent="0.45">
      <c r="B24" s="83" t="s">
        <v>223</v>
      </c>
      <c r="C24" s="80">
        <v>69</v>
      </c>
      <c r="D24" s="80">
        <v>71</v>
      </c>
      <c r="E24" s="80">
        <v>73</v>
      </c>
      <c r="F24" s="80">
        <v>70</v>
      </c>
      <c r="G24" s="80">
        <v>72</v>
      </c>
      <c r="H24" s="80">
        <f>SUM(Table19[[#This Row],[OS]:[TC]])</f>
        <v>355</v>
      </c>
      <c r="I24" s="80">
        <f>Table19[[#This Row],[Total]]/5</f>
        <v>71</v>
      </c>
      <c r="J24" s="80" t="str">
        <f>IF(Table19[[#This Row],[%]]&gt;60,"Pass","Fail")</f>
        <v>Pass</v>
      </c>
      <c r="K24" s="85" t="str">
        <f t="shared" si="2"/>
        <v>A</v>
      </c>
      <c r="L24" s="87">
        <f t="shared" si="0"/>
        <v>35</v>
      </c>
    </row>
    <row r="25" spans="2:12" ht="19" x14ac:dyDescent="0.45">
      <c r="B25" s="83" t="s">
        <v>224</v>
      </c>
      <c r="C25" s="80">
        <v>97</v>
      </c>
      <c r="D25" s="80">
        <v>96</v>
      </c>
      <c r="E25" s="80">
        <v>95</v>
      </c>
      <c r="F25" s="80">
        <v>98</v>
      </c>
      <c r="G25" s="80">
        <v>97</v>
      </c>
      <c r="H25" s="80">
        <f>SUM(Table19[[#This Row],[OS]:[TC]])</f>
        <v>483</v>
      </c>
      <c r="I25" s="80">
        <f>Table19[[#This Row],[Total]]/5</f>
        <v>96.6</v>
      </c>
      <c r="J25" s="80" t="str">
        <f>IF(Table19[[#This Row],[%]]&gt;60,"Pass","Fail")</f>
        <v>Pass</v>
      </c>
      <c r="K25" s="85" t="str">
        <f t="shared" si="2"/>
        <v>B</v>
      </c>
      <c r="L25" s="92">
        <f t="shared" si="0"/>
        <v>2</v>
      </c>
    </row>
    <row r="26" spans="2:12" ht="38" x14ac:dyDescent="0.45">
      <c r="B26" s="83" t="s">
        <v>225</v>
      </c>
      <c r="C26" s="80">
        <v>64</v>
      </c>
      <c r="D26" s="80">
        <v>67</v>
      </c>
      <c r="E26" s="80">
        <v>65</v>
      </c>
      <c r="F26" s="80">
        <v>69</v>
      </c>
      <c r="G26" s="80">
        <v>66</v>
      </c>
      <c r="H26" s="80">
        <f>SUM(Table19[[#This Row],[OS]:[TC]])</f>
        <v>331</v>
      </c>
      <c r="I26" s="80">
        <f>Table19[[#This Row],[Total]]/5</f>
        <v>66.2</v>
      </c>
      <c r="J26" s="80" t="str">
        <f>IF(Table19[[#This Row],[%]]&gt;60,"Pass","Fail")</f>
        <v>Pass</v>
      </c>
      <c r="K26" s="85" t="str">
        <f t="shared" si="2"/>
        <v>B</v>
      </c>
      <c r="L26" s="87">
        <f t="shared" si="0"/>
        <v>40</v>
      </c>
    </row>
    <row r="27" spans="2:12" ht="19" x14ac:dyDescent="0.45">
      <c r="B27" s="83" t="s">
        <v>226</v>
      </c>
      <c r="C27" s="80">
        <v>86</v>
      </c>
      <c r="D27" s="80">
        <v>89</v>
      </c>
      <c r="E27" s="80">
        <v>87</v>
      </c>
      <c r="F27" s="80">
        <v>90</v>
      </c>
      <c r="G27" s="80">
        <v>88</v>
      </c>
      <c r="H27" s="80">
        <f>SUM(Table19[[#This Row],[OS]:[TC]])</f>
        <v>440</v>
      </c>
      <c r="I27" s="80">
        <f>Table19[[#This Row],[Total]]/5</f>
        <v>88</v>
      </c>
      <c r="J27" s="80" t="str">
        <f>IF(Table19[[#This Row],[%]]&gt;60,"Pass","Fail")</f>
        <v>Pass</v>
      </c>
      <c r="K27" s="85" t="str">
        <f t="shared" si="2"/>
        <v>B</v>
      </c>
      <c r="L27" s="87">
        <f t="shared" si="0"/>
        <v>17</v>
      </c>
    </row>
    <row r="28" spans="2:12" ht="19" x14ac:dyDescent="0.45">
      <c r="B28" s="83" t="s">
        <v>227</v>
      </c>
      <c r="C28" s="80">
        <v>71</v>
      </c>
      <c r="D28" s="80">
        <v>75</v>
      </c>
      <c r="E28" s="80">
        <v>72</v>
      </c>
      <c r="F28" s="80">
        <v>74</v>
      </c>
      <c r="G28" s="80">
        <v>73</v>
      </c>
      <c r="H28" s="80">
        <f>SUM(Table19[[#This Row],[OS]:[TC]])</f>
        <v>365</v>
      </c>
      <c r="I28" s="80">
        <f>Table19[[#This Row],[Total]]/5</f>
        <v>73</v>
      </c>
      <c r="J28" s="80" t="str">
        <f>IF(Table19[[#This Row],[%]]&gt;60,"Pass","Fail")</f>
        <v>Pass</v>
      </c>
      <c r="K28" s="85" t="str">
        <f t="shared" si="2"/>
        <v>A</v>
      </c>
      <c r="L28" s="87">
        <f t="shared" si="0"/>
        <v>31</v>
      </c>
    </row>
    <row r="29" spans="2:12" ht="19" x14ac:dyDescent="0.45">
      <c r="B29" s="83" t="s">
        <v>228</v>
      </c>
      <c r="C29" s="80">
        <v>92</v>
      </c>
      <c r="D29" s="80">
        <v>90</v>
      </c>
      <c r="E29" s="80">
        <v>93</v>
      </c>
      <c r="F29" s="80">
        <v>91</v>
      </c>
      <c r="G29" s="80">
        <v>94</v>
      </c>
      <c r="H29" s="80">
        <f>SUM(Table19[[#This Row],[OS]:[TC]])</f>
        <v>460</v>
      </c>
      <c r="I29" s="80">
        <f>Table19[[#This Row],[Total]]/5</f>
        <v>92</v>
      </c>
      <c r="J29" s="80" t="str">
        <f>IF(Table19[[#This Row],[%]]&gt;60,"Pass","Fail")</f>
        <v>Pass</v>
      </c>
      <c r="K29" s="85" t="str">
        <f t="shared" si="2"/>
        <v>B</v>
      </c>
      <c r="L29" s="87">
        <f t="shared" si="0"/>
        <v>9</v>
      </c>
    </row>
    <row r="30" spans="2:12" ht="19" x14ac:dyDescent="0.45">
      <c r="B30" s="83" t="s">
        <v>229</v>
      </c>
      <c r="C30" s="80">
        <v>59</v>
      </c>
      <c r="D30" s="80">
        <v>62</v>
      </c>
      <c r="E30" s="80">
        <v>60</v>
      </c>
      <c r="F30" s="80">
        <v>63</v>
      </c>
      <c r="G30" s="80">
        <v>61</v>
      </c>
      <c r="H30" s="80">
        <f>SUM(Table19[[#This Row],[OS]:[TC]])</f>
        <v>305</v>
      </c>
      <c r="I30" s="80">
        <f>Table19[[#This Row],[Total]]/5</f>
        <v>61</v>
      </c>
      <c r="J30" s="80" t="str">
        <f>IF(Table19[[#This Row],[%]]&gt;60,"Pass","Fail")</f>
        <v>Pass</v>
      </c>
      <c r="K30" s="85" t="str">
        <f t="shared" si="2"/>
        <v>B</v>
      </c>
      <c r="L30" s="87">
        <f t="shared" si="0"/>
        <v>46</v>
      </c>
    </row>
    <row r="31" spans="2:12" ht="19" x14ac:dyDescent="0.45">
      <c r="B31" s="83" t="s">
        <v>230</v>
      </c>
      <c r="C31" s="80">
        <v>83</v>
      </c>
      <c r="D31" s="80">
        <v>85</v>
      </c>
      <c r="E31" s="80">
        <v>82</v>
      </c>
      <c r="F31" s="80">
        <v>84</v>
      </c>
      <c r="G31" s="80">
        <v>86</v>
      </c>
      <c r="H31" s="80">
        <f>SUM(Table19[[#This Row],[OS]:[TC]])</f>
        <v>420</v>
      </c>
      <c r="I31" s="80">
        <f>Table19[[#This Row],[Total]]/5</f>
        <v>84</v>
      </c>
      <c r="J31" s="80" t="str">
        <f>IF(Table19[[#This Row],[%]]&gt;60,"Pass","Fail")</f>
        <v>Pass</v>
      </c>
      <c r="K31" s="85" t="str">
        <f t="shared" si="2"/>
        <v>B</v>
      </c>
      <c r="L31" s="87">
        <f t="shared" si="0"/>
        <v>20</v>
      </c>
    </row>
    <row r="32" spans="2:12" ht="19" x14ac:dyDescent="0.45">
      <c r="B32" s="83" t="s">
        <v>231</v>
      </c>
      <c r="C32" s="80">
        <v>76</v>
      </c>
      <c r="D32" s="80">
        <v>74</v>
      </c>
      <c r="E32" s="80">
        <v>77</v>
      </c>
      <c r="F32" s="80">
        <v>75</v>
      </c>
      <c r="G32" s="80">
        <v>78</v>
      </c>
      <c r="H32" s="80">
        <f>SUM(Table19[[#This Row],[OS]:[TC]])</f>
        <v>380</v>
      </c>
      <c r="I32" s="80">
        <f>Table19[[#This Row],[Total]]/5</f>
        <v>76</v>
      </c>
      <c r="J32" s="80" t="str">
        <f>IF(Table19[[#This Row],[%]]&gt;60,"Pass","Fail")</f>
        <v>Pass</v>
      </c>
      <c r="K32" s="85" t="str">
        <f t="shared" si="2"/>
        <v>A</v>
      </c>
      <c r="L32" s="87">
        <f t="shared" si="0"/>
        <v>28</v>
      </c>
    </row>
    <row r="33" spans="2:12" ht="19" x14ac:dyDescent="0.45">
      <c r="B33" s="83" t="s">
        <v>207</v>
      </c>
      <c r="C33" s="80">
        <v>94</v>
      </c>
      <c r="D33" s="80">
        <v>96</v>
      </c>
      <c r="E33" s="80">
        <v>95</v>
      </c>
      <c r="F33" s="80">
        <v>93</v>
      </c>
      <c r="G33" s="80">
        <v>97</v>
      </c>
      <c r="H33" s="80">
        <f>SUM(Table19[[#This Row],[OS]:[TC]])</f>
        <v>475</v>
      </c>
      <c r="I33" s="80">
        <f>Table19[[#This Row],[Total]]/5</f>
        <v>95</v>
      </c>
      <c r="J33" s="80" t="str">
        <f>IF(Table19[[#This Row],[%]]&gt;60,"Pass","Fail")</f>
        <v>Pass</v>
      </c>
      <c r="K33" s="85" t="str">
        <f t="shared" si="2"/>
        <v>B</v>
      </c>
      <c r="L33" s="87">
        <f t="shared" si="0"/>
        <v>5</v>
      </c>
    </row>
    <row r="34" spans="2:12" ht="19" x14ac:dyDescent="0.45">
      <c r="B34" s="83" t="s">
        <v>232</v>
      </c>
      <c r="C34" s="80">
        <v>61</v>
      </c>
      <c r="D34" s="80">
        <v>64</v>
      </c>
      <c r="E34" s="80">
        <v>63</v>
      </c>
      <c r="F34" s="80">
        <v>66</v>
      </c>
      <c r="G34" s="80">
        <v>65</v>
      </c>
      <c r="H34" s="80">
        <f>SUM(Table19[[#This Row],[OS]:[TC]])</f>
        <v>319</v>
      </c>
      <c r="I34" s="80">
        <f>Table19[[#This Row],[Total]]/5</f>
        <v>63.8</v>
      </c>
      <c r="J34" s="80" t="str">
        <f>IF(Table19[[#This Row],[%]]&gt;60,"Pass","Fail")</f>
        <v>Pass</v>
      </c>
      <c r="K34" s="85" t="str">
        <f t="shared" si="2"/>
        <v>B</v>
      </c>
      <c r="L34" s="87">
        <f t="shared" si="0"/>
        <v>44</v>
      </c>
    </row>
    <row r="35" spans="2:12" ht="19" x14ac:dyDescent="0.45">
      <c r="B35" s="83" t="s">
        <v>233</v>
      </c>
      <c r="C35" s="80">
        <v>87</v>
      </c>
      <c r="D35" s="80">
        <v>89</v>
      </c>
      <c r="E35" s="80">
        <v>90</v>
      </c>
      <c r="F35" s="80">
        <v>88</v>
      </c>
      <c r="G35" s="80">
        <v>91</v>
      </c>
      <c r="H35" s="80">
        <f>SUM(Table19[[#This Row],[OS]:[TC]])</f>
        <v>445</v>
      </c>
      <c r="I35" s="80">
        <f>Table19[[#This Row],[Total]]/5</f>
        <v>89</v>
      </c>
      <c r="J35" s="80" t="str">
        <f>IF(Table19[[#This Row],[%]]&gt;60,"Pass","Fail")</f>
        <v>Pass</v>
      </c>
      <c r="K35" s="85" t="str">
        <f t="shared" si="2"/>
        <v>B</v>
      </c>
      <c r="L35" s="87">
        <f t="shared" si="0"/>
        <v>15</v>
      </c>
    </row>
    <row r="36" spans="2:12" ht="19" x14ac:dyDescent="0.45">
      <c r="B36" s="83" t="s">
        <v>234</v>
      </c>
      <c r="C36" s="80">
        <v>72</v>
      </c>
      <c r="D36" s="80">
        <v>70</v>
      </c>
      <c r="E36" s="80">
        <v>74</v>
      </c>
      <c r="F36" s="80">
        <v>73</v>
      </c>
      <c r="G36" s="80">
        <v>71</v>
      </c>
      <c r="H36" s="80">
        <f>SUM(Table19[[#This Row],[OS]:[TC]])</f>
        <v>360</v>
      </c>
      <c r="I36" s="80">
        <f>Table19[[#This Row],[Total]]/5</f>
        <v>72</v>
      </c>
      <c r="J36" s="80" t="str">
        <f>IF(Table19[[#This Row],[%]]&gt;60,"Pass","Fail")</f>
        <v>Pass</v>
      </c>
      <c r="K36" s="85" t="str">
        <f t="shared" si="2"/>
        <v>A</v>
      </c>
      <c r="L36" s="87">
        <f t="shared" si="0"/>
        <v>33</v>
      </c>
    </row>
    <row r="37" spans="2:12" ht="19" x14ac:dyDescent="0.45">
      <c r="B37" s="83" t="s">
        <v>235</v>
      </c>
      <c r="C37" s="80">
        <v>96</v>
      </c>
      <c r="D37" s="80">
        <v>94</v>
      </c>
      <c r="E37" s="80">
        <v>97</v>
      </c>
      <c r="F37" s="80">
        <v>95</v>
      </c>
      <c r="G37" s="80">
        <v>98</v>
      </c>
      <c r="H37" s="80">
        <f>SUM(Table19[[#This Row],[OS]:[TC]])</f>
        <v>480</v>
      </c>
      <c r="I37" s="80">
        <f>Table19[[#This Row],[Total]]/5</f>
        <v>96</v>
      </c>
      <c r="J37" s="80" t="str">
        <f>IF(Table19[[#This Row],[%]]&gt;60,"Pass","Fail")</f>
        <v>Pass</v>
      </c>
      <c r="K37" s="85" t="str">
        <f t="shared" ref="K37:K53" si="3">IF(I38&gt;=90,"A",IF(I38&gt;=60,"B",IF(I38&gt;=50,"C",IF(I38&gt;=30,"D","F"))))</f>
        <v>B</v>
      </c>
      <c r="L37" s="93">
        <f t="shared" ref="L37:L54" si="4">RANK(I37,$I$5:$I$56,)</f>
        <v>3</v>
      </c>
    </row>
    <row r="38" spans="2:12" ht="19" x14ac:dyDescent="0.45">
      <c r="B38" s="83" t="s">
        <v>236</v>
      </c>
      <c r="C38" s="80">
        <v>60</v>
      </c>
      <c r="D38" s="80">
        <v>58</v>
      </c>
      <c r="E38" s="80">
        <v>62</v>
      </c>
      <c r="F38" s="80">
        <v>61</v>
      </c>
      <c r="G38" s="80">
        <v>59</v>
      </c>
      <c r="H38" s="80">
        <f>SUM(Table19[[#This Row],[OS]:[TC]])</f>
        <v>300</v>
      </c>
      <c r="I38" s="80">
        <f>Table19[[#This Row],[Total]]/5</f>
        <v>60</v>
      </c>
      <c r="J38" s="80" t="str">
        <f>IF(Table19[[#This Row],[%]]&gt;60,"Pass","Fail")</f>
        <v>Fail</v>
      </c>
      <c r="K38" s="85" t="str">
        <f t="shared" si="3"/>
        <v>B</v>
      </c>
      <c r="L38" s="87">
        <f t="shared" si="4"/>
        <v>47</v>
      </c>
    </row>
    <row r="39" spans="2:12" ht="19" x14ac:dyDescent="0.45">
      <c r="B39" s="83" t="s">
        <v>237</v>
      </c>
      <c r="C39" s="80">
        <v>84</v>
      </c>
      <c r="D39" s="80">
        <v>86</v>
      </c>
      <c r="E39" s="80">
        <v>85</v>
      </c>
      <c r="F39" s="80">
        <v>87</v>
      </c>
      <c r="G39" s="80">
        <v>88</v>
      </c>
      <c r="H39" s="80">
        <f>SUM(Table19[[#This Row],[OS]:[TC]])</f>
        <v>430</v>
      </c>
      <c r="I39" s="80">
        <f>Table19[[#This Row],[Total]]/5</f>
        <v>86</v>
      </c>
      <c r="J39" s="80" t="str">
        <f>IF(Table19[[#This Row],[%]]&gt;60,"Pass","Fail")</f>
        <v>Pass</v>
      </c>
      <c r="K39" s="85" t="str">
        <f t="shared" si="3"/>
        <v>B</v>
      </c>
      <c r="L39" s="87">
        <f t="shared" si="4"/>
        <v>19</v>
      </c>
    </row>
    <row r="40" spans="2:12" ht="19" x14ac:dyDescent="0.45">
      <c r="B40" s="83" t="s">
        <v>238</v>
      </c>
      <c r="C40" s="80">
        <v>68</v>
      </c>
      <c r="D40" s="80">
        <v>66</v>
      </c>
      <c r="E40" s="80">
        <v>70</v>
      </c>
      <c r="F40" s="80">
        <v>69</v>
      </c>
      <c r="G40" s="80">
        <v>67</v>
      </c>
      <c r="H40" s="80">
        <f>SUM(Table19[[#This Row],[OS]:[TC]])</f>
        <v>340</v>
      </c>
      <c r="I40" s="80">
        <f>Table19[[#This Row],[Total]]/5</f>
        <v>68</v>
      </c>
      <c r="J40" s="80" t="str">
        <f>IF(Table19[[#This Row],[%]]&gt;60,"Pass","Fail")</f>
        <v>Pass</v>
      </c>
      <c r="K40" s="85" t="str">
        <f t="shared" si="3"/>
        <v>A</v>
      </c>
      <c r="L40" s="87">
        <f t="shared" si="4"/>
        <v>38</v>
      </c>
    </row>
    <row r="41" spans="2:12" ht="19" x14ac:dyDescent="0.45">
      <c r="B41" s="83" t="s">
        <v>239</v>
      </c>
      <c r="C41" s="80">
        <v>91</v>
      </c>
      <c r="D41" s="80">
        <v>93</v>
      </c>
      <c r="E41" s="80">
        <v>90</v>
      </c>
      <c r="F41" s="80">
        <v>92</v>
      </c>
      <c r="G41" s="80">
        <v>94</v>
      </c>
      <c r="H41" s="80">
        <f>SUM(Table19[[#This Row],[OS]:[TC]])</f>
        <v>460</v>
      </c>
      <c r="I41" s="80">
        <f>Table19[[#This Row],[Total]]/5</f>
        <v>92</v>
      </c>
      <c r="J41" s="80" t="str">
        <f>IF(Table19[[#This Row],[%]]&gt;60,"Pass","Fail")</f>
        <v>Pass</v>
      </c>
      <c r="K41" s="85" t="str">
        <f t="shared" si="3"/>
        <v>B</v>
      </c>
      <c r="L41" s="87">
        <f t="shared" si="4"/>
        <v>9</v>
      </c>
    </row>
    <row r="42" spans="2:12" ht="19" x14ac:dyDescent="0.45">
      <c r="B42" s="83" t="s">
        <v>240</v>
      </c>
      <c r="C42" s="80">
        <v>63</v>
      </c>
      <c r="D42" s="80">
        <v>65</v>
      </c>
      <c r="E42" s="80">
        <v>67</v>
      </c>
      <c r="F42" s="80">
        <v>64</v>
      </c>
      <c r="G42" s="80">
        <v>66</v>
      </c>
      <c r="H42" s="80">
        <f>SUM(Table19[[#This Row],[OS]:[TC]])</f>
        <v>325</v>
      </c>
      <c r="I42" s="80">
        <f>Table19[[#This Row],[Total]]/5</f>
        <v>65</v>
      </c>
      <c r="J42" s="80" t="str">
        <f>IF(Table19[[#This Row],[%]]&gt;60,"Pass","Fail")</f>
        <v>Pass</v>
      </c>
      <c r="K42" s="85" t="str">
        <f t="shared" si="3"/>
        <v>A</v>
      </c>
      <c r="L42" s="87">
        <f t="shared" si="4"/>
        <v>41</v>
      </c>
    </row>
    <row r="43" spans="2:12" ht="19" x14ac:dyDescent="0.45">
      <c r="B43" s="83" t="s">
        <v>241</v>
      </c>
      <c r="C43" s="80">
        <v>88</v>
      </c>
      <c r="D43" s="80">
        <v>90</v>
      </c>
      <c r="E43" s="80">
        <v>89</v>
      </c>
      <c r="F43" s="80">
        <v>91</v>
      </c>
      <c r="G43" s="80">
        <v>92</v>
      </c>
      <c r="H43" s="80">
        <f>SUM(Table19[[#This Row],[OS]:[TC]])</f>
        <v>450</v>
      </c>
      <c r="I43" s="80">
        <f>Table19[[#This Row],[Total]]/5</f>
        <v>90</v>
      </c>
      <c r="J43" s="80" t="str">
        <f>IF(Table19[[#This Row],[%]]&gt;60,"Pass","Fail")</f>
        <v>Pass</v>
      </c>
      <c r="K43" s="85" t="str">
        <f t="shared" si="3"/>
        <v>B</v>
      </c>
      <c r="L43" s="87">
        <f t="shared" si="4"/>
        <v>13</v>
      </c>
    </row>
    <row r="44" spans="2:12" ht="19" x14ac:dyDescent="0.45">
      <c r="B44" s="83" t="s">
        <v>242</v>
      </c>
      <c r="C44" s="80">
        <v>75</v>
      </c>
      <c r="D44" s="80">
        <v>78</v>
      </c>
      <c r="E44" s="80">
        <v>76</v>
      </c>
      <c r="F44" s="80">
        <v>77</v>
      </c>
      <c r="G44" s="80">
        <v>79</v>
      </c>
      <c r="H44" s="80">
        <f>SUM(Table19[[#This Row],[OS]:[TC]])</f>
        <v>385</v>
      </c>
      <c r="I44" s="80">
        <f>Table19[[#This Row],[Total]]/5</f>
        <v>77</v>
      </c>
      <c r="J44" s="80" t="str">
        <f>IF(Table19[[#This Row],[%]]&gt;60,"Pass","Fail")</f>
        <v>Pass</v>
      </c>
      <c r="K44" s="85" t="str">
        <f t="shared" si="3"/>
        <v>A</v>
      </c>
      <c r="L44" s="87">
        <f t="shared" si="4"/>
        <v>26</v>
      </c>
    </row>
    <row r="45" spans="2:12" ht="19" x14ac:dyDescent="0.45">
      <c r="B45" s="83" t="s">
        <v>243</v>
      </c>
      <c r="C45" s="80">
        <v>95</v>
      </c>
      <c r="D45" s="80">
        <v>97</v>
      </c>
      <c r="E45" s="80">
        <v>96</v>
      </c>
      <c r="F45" s="80">
        <v>94</v>
      </c>
      <c r="G45" s="80">
        <v>98</v>
      </c>
      <c r="H45" s="80">
        <f>SUM(Table19[[#This Row],[OS]:[TC]])</f>
        <v>480</v>
      </c>
      <c r="I45" s="80">
        <f>Table19[[#This Row],[Total]]/5</f>
        <v>96</v>
      </c>
      <c r="J45" s="80" t="str">
        <f>IF(Table19[[#This Row],[%]]&gt;60,"Pass","Fail")</f>
        <v>Pass</v>
      </c>
      <c r="K45" s="85" t="str">
        <f t="shared" si="3"/>
        <v>C</v>
      </c>
      <c r="L45" s="87">
        <f t="shared" si="4"/>
        <v>3</v>
      </c>
    </row>
    <row r="46" spans="2:12" ht="19" x14ac:dyDescent="0.45">
      <c r="B46" s="83" t="s">
        <v>244</v>
      </c>
      <c r="C46" s="80">
        <v>56</v>
      </c>
      <c r="D46" s="80">
        <v>60</v>
      </c>
      <c r="E46" s="80">
        <v>58</v>
      </c>
      <c r="F46" s="80">
        <v>59</v>
      </c>
      <c r="G46" s="80">
        <v>57</v>
      </c>
      <c r="H46" s="80">
        <f>SUM(Table19[[#This Row],[OS]:[TC]])</f>
        <v>290</v>
      </c>
      <c r="I46" s="80">
        <f>Table19[[#This Row],[Total]]/5</f>
        <v>58</v>
      </c>
      <c r="J46" s="80" t="str">
        <f>IF(Table19[[#This Row],[%]]&gt;60,"Pass","Fail")</f>
        <v>Fail</v>
      </c>
      <c r="K46" s="85" t="str">
        <f t="shared" si="3"/>
        <v>B</v>
      </c>
      <c r="L46" s="87">
        <f t="shared" si="4"/>
        <v>50</v>
      </c>
    </row>
    <row r="47" spans="2:12" ht="19" x14ac:dyDescent="0.45">
      <c r="B47" s="83" t="s">
        <v>245</v>
      </c>
      <c r="C47" s="80">
        <v>82</v>
      </c>
      <c r="D47" s="80">
        <v>84</v>
      </c>
      <c r="E47" s="80">
        <v>83</v>
      </c>
      <c r="F47" s="80">
        <v>85</v>
      </c>
      <c r="G47" s="80">
        <v>86</v>
      </c>
      <c r="H47" s="80">
        <f>SUM(Table19[[#This Row],[OS]:[TC]])</f>
        <v>420</v>
      </c>
      <c r="I47" s="80">
        <f>Table19[[#This Row],[Total]]/5</f>
        <v>84</v>
      </c>
      <c r="J47" s="80" t="str">
        <f>IF(Table19[[#This Row],[%]]&gt;60,"Pass","Fail")</f>
        <v>Pass</v>
      </c>
      <c r="K47" s="85" t="str">
        <f t="shared" si="3"/>
        <v>B</v>
      </c>
      <c r="L47" s="87">
        <f t="shared" si="4"/>
        <v>20</v>
      </c>
    </row>
    <row r="48" spans="2:12" ht="19" x14ac:dyDescent="0.45">
      <c r="B48" s="83" t="s">
        <v>246</v>
      </c>
      <c r="C48" s="80">
        <v>73</v>
      </c>
      <c r="D48" s="80">
        <v>71</v>
      </c>
      <c r="E48" s="80">
        <v>74</v>
      </c>
      <c r="F48" s="80">
        <v>72</v>
      </c>
      <c r="G48" s="80">
        <v>75</v>
      </c>
      <c r="H48" s="80">
        <f>SUM(Table19[[#This Row],[OS]:[TC]])</f>
        <v>365</v>
      </c>
      <c r="I48" s="80">
        <f>Table19[[#This Row],[Total]]/5</f>
        <v>73</v>
      </c>
      <c r="J48" s="80" t="str">
        <f>IF(Table19[[#This Row],[%]]&gt;60,"Pass","Fail")</f>
        <v>Pass</v>
      </c>
      <c r="K48" s="85" t="str">
        <f t="shared" si="3"/>
        <v>A</v>
      </c>
      <c r="L48" s="87">
        <f t="shared" si="4"/>
        <v>31</v>
      </c>
    </row>
    <row r="49" spans="2:12" ht="19" x14ac:dyDescent="0.45">
      <c r="B49" s="83" t="s">
        <v>247</v>
      </c>
      <c r="C49" s="80">
        <v>93</v>
      </c>
      <c r="D49" s="80">
        <v>92</v>
      </c>
      <c r="E49" s="80">
        <v>94</v>
      </c>
      <c r="F49" s="80">
        <v>95</v>
      </c>
      <c r="G49" s="80">
        <v>91</v>
      </c>
      <c r="H49" s="80">
        <f>SUM(Table19[[#This Row],[OS]:[TC]])</f>
        <v>465</v>
      </c>
      <c r="I49" s="80">
        <f>Table19[[#This Row],[Total]]/5</f>
        <v>93</v>
      </c>
      <c r="J49" s="80" t="str">
        <f>IF(Table19[[#This Row],[%]]&gt;60,"Pass","Fail")</f>
        <v>Pass</v>
      </c>
      <c r="K49" s="85" t="str">
        <f t="shared" si="3"/>
        <v>B</v>
      </c>
      <c r="L49" s="87">
        <f t="shared" si="4"/>
        <v>8</v>
      </c>
    </row>
    <row r="50" spans="2:12" ht="38" x14ac:dyDescent="0.45">
      <c r="B50" s="83" t="s">
        <v>248</v>
      </c>
      <c r="C50" s="80">
        <v>66</v>
      </c>
      <c r="D50" s="80">
        <v>68</v>
      </c>
      <c r="E50" s="80">
        <v>67</v>
      </c>
      <c r="F50" s="80">
        <v>69</v>
      </c>
      <c r="G50" s="80">
        <v>70</v>
      </c>
      <c r="H50" s="80">
        <f>SUM(Table19[[#This Row],[OS]:[TC]])</f>
        <v>340</v>
      </c>
      <c r="I50" s="80">
        <f>Table19[[#This Row],[Total]]/5</f>
        <v>68</v>
      </c>
      <c r="J50" s="80" t="str">
        <f>IF(Table19[[#This Row],[%]]&gt;60,"Pass","Fail")</f>
        <v>Pass</v>
      </c>
      <c r="K50" s="85" t="str">
        <f t="shared" si="3"/>
        <v>A</v>
      </c>
      <c r="L50" s="87">
        <f t="shared" si="4"/>
        <v>38</v>
      </c>
    </row>
    <row r="51" spans="2:12" ht="19" x14ac:dyDescent="0.45">
      <c r="B51" s="83" t="s">
        <v>249</v>
      </c>
      <c r="C51" s="80">
        <v>89</v>
      </c>
      <c r="D51" s="80">
        <v>91</v>
      </c>
      <c r="E51" s="80">
        <v>90</v>
      </c>
      <c r="F51" s="80">
        <v>92</v>
      </c>
      <c r="G51" s="80">
        <v>93</v>
      </c>
      <c r="H51" s="80">
        <f>SUM(Table19[[#This Row],[OS]:[TC]])</f>
        <v>455</v>
      </c>
      <c r="I51" s="80">
        <f>Table19[[#This Row],[Total]]/5</f>
        <v>91</v>
      </c>
      <c r="J51" s="80" t="str">
        <f>IF(Table19[[#This Row],[%]]&gt;60,"Pass","Fail")</f>
        <v>Pass</v>
      </c>
      <c r="K51" s="85" t="str">
        <f t="shared" si="3"/>
        <v>B</v>
      </c>
      <c r="L51" s="87">
        <f t="shared" si="4"/>
        <v>12</v>
      </c>
    </row>
    <row r="52" spans="2:12" ht="19" x14ac:dyDescent="0.45">
      <c r="B52" s="83" t="s">
        <v>250</v>
      </c>
      <c r="C52" s="80">
        <v>74</v>
      </c>
      <c r="D52" s="80">
        <v>76</v>
      </c>
      <c r="E52" s="80">
        <v>75</v>
      </c>
      <c r="F52" s="80">
        <v>77</v>
      </c>
      <c r="G52" s="80">
        <v>78</v>
      </c>
      <c r="H52" s="80">
        <f>SUM(Table19[[#This Row],[OS]:[TC]])</f>
        <v>380</v>
      </c>
      <c r="I52" s="80">
        <f>Table19[[#This Row],[Total]]/5</f>
        <v>76</v>
      </c>
      <c r="J52" s="80" t="str">
        <f>IF(Table19[[#This Row],[%]]&gt;60,"Pass","Fail")</f>
        <v>Pass</v>
      </c>
      <c r="K52" s="85" t="str">
        <f t="shared" si="3"/>
        <v>A</v>
      </c>
      <c r="L52" s="87">
        <f t="shared" si="4"/>
        <v>28</v>
      </c>
    </row>
    <row r="53" spans="2:12" ht="19" x14ac:dyDescent="0.45">
      <c r="B53" s="83" t="s">
        <v>334</v>
      </c>
      <c r="C53" s="80">
        <v>97</v>
      </c>
      <c r="D53" s="80">
        <v>95</v>
      </c>
      <c r="E53" s="80">
        <v>98</v>
      </c>
      <c r="F53" s="80">
        <v>96</v>
      </c>
      <c r="G53" s="80">
        <v>99</v>
      </c>
      <c r="H53" s="80">
        <f>SUM(Table19[[#This Row],[OS]:[TC]])</f>
        <v>485</v>
      </c>
      <c r="I53" s="80">
        <f>Table19[[#This Row],[Total]]/5</f>
        <v>97</v>
      </c>
      <c r="J53" s="80" t="str">
        <f>IF(Table19[[#This Row],[%]]&gt;60,"Pass","Fail")</f>
        <v>Pass</v>
      </c>
      <c r="K53" s="85" t="str">
        <f t="shared" si="3"/>
        <v>B</v>
      </c>
      <c r="L53" s="94">
        <f t="shared" si="4"/>
        <v>1</v>
      </c>
    </row>
    <row r="54" spans="2:12" ht="19" x14ac:dyDescent="0.45">
      <c r="B54" s="84" t="s">
        <v>251</v>
      </c>
      <c r="C54" s="80">
        <v>62</v>
      </c>
      <c r="D54" s="80">
        <v>64</v>
      </c>
      <c r="E54" s="80">
        <v>63</v>
      </c>
      <c r="F54" s="80">
        <v>65</v>
      </c>
      <c r="G54" s="80">
        <v>66</v>
      </c>
      <c r="H54" s="80">
        <f>SUM(Table19[[#This Row],[OS]:[TC]])</f>
        <v>320</v>
      </c>
      <c r="I54" s="80">
        <f>Table19[[#This Row],[Total]]/5</f>
        <v>64</v>
      </c>
      <c r="J54" s="80" t="str">
        <f>IF(Table19[[#This Row],[%]]&gt;60,"Pass","Fail")</f>
        <v>Pass</v>
      </c>
      <c r="K54" s="85" t="str">
        <f>IF(H56&gt;=90,"A",IF(H56&gt;=60,"B",IF(H56&gt;=50,"C",IF(H56&gt;=30,"D","F"))))</f>
        <v>B</v>
      </c>
      <c r="L54" s="87">
        <f t="shared" si="4"/>
        <v>43</v>
      </c>
    </row>
    <row r="55" spans="2:12" ht="15.5" x14ac:dyDescent="0.35">
      <c r="B55" s="91" t="s">
        <v>275</v>
      </c>
      <c r="C55" s="80"/>
      <c r="D55" s="80"/>
      <c r="E55" s="80"/>
      <c r="F55" s="80"/>
      <c r="G55" s="80"/>
      <c r="H55" s="80">
        <f ca="1">MAX(Table19[Total])</f>
        <v>475</v>
      </c>
      <c r="I55" s="80"/>
      <c r="J55" s="80"/>
      <c r="K55" s="85"/>
      <c r="L55" s="87"/>
    </row>
    <row r="56" spans="2:12" x14ac:dyDescent="0.35">
      <c r="B56" s="88" t="s">
        <v>276</v>
      </c>
      <c r="C56" s="81"/>
      <c r="D56" s="81"/>
      <c r="E56" s="81"/>
      <c r="F56" s="81"/>
      <c r="G56" s="81"/>
      <c r="H56" s="81">
        <f>AVERAGE(I5:I54)</f>
        <v>78.860000000000014</v>
      </c>
      <c r="I56" s="81"/>
      <c r="J56" s="81"/>
      <c r="K56" s="86"/>
      <c r="L56" s="88"/>
    </row>
    <row r="57" spans="2:12" x14ac:dyDescent="0.35">
      <c r="B57" s="79" t="s">
        <v>114</v>
      </c>
      <c r="K57" s="79">
        <f>SUBTOTAL(103,Table19[Grade])</f>
        <v>50</v>
      </c>
    </row>
    <row r="58" spans="2:12" x14ac:dyDescent="0.35">
      <c r="B58" s="82"/>
    </row>
  </sheetData>
  <mergeCells count="3">
    <mergeCell ref="B2:L2"/>
    <mergeCell ref="A3:XFD3"/>
    <mergeCell ref="A1:XFD1"/>
  </mergeCells>
  <phoneticPr fontId="24" type="noConversion"/>
  <conditionalFormatting sqref="I1:I1048576">
    <cfRule type="dataBar" priority="1">
      <dataBar>
        <cfvo type="min"/>
        <cfvo type="max"/>
        <color rgb="FF638EC6"/>
      </dataBar>
      <extLst>
        <ext xmlns:x14="http://schemas.microsoft.com/office/spreadsheetml/2009/9/main" uri="{B025F937-C7B1-47D3-B67F-A62EFF666E3E}">
          <x14:id>{AEF5C80A-0BBF-4B3C-BC1C-D4ED1FFC598B}</x14:id>
        </ext>
      </extLst>
    </cfRule>
  </conditionalFormatting>
  <conditionalFormatting sqref="J5:J54">
    <cfRule type="cellIs" dxfId="22" priority="12" operator="equal">
      <formula>"Pass"</formula>
    </cfRule>
  </conditionalFormatting>
  <conditionalFormatting sqref="J5:J56">
    <cfRule type="cellIs" dxfId="21" priority="14" operator="equal">
      <formula>"Fail"</formula>
    </cfRule>
  </conditionalFormatting>
  <conditionalFormatting sqref="M4 K4:L57 K58:K1048576">
    <cfRule type="cellIs" dxfId="20" priority="7" operator="equal">
      <formula>"B"</formula>
    </cfRule>
  </conditionalFormatting>
  <pageMargins left="0.7" right="0.7" top="0.75" bottom="0.75" header="0.3" footer="0.3"/>
  <pageSetup paperSize="9" scale="44"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EF5C80A-0BBF-4B3C-BC1C-D4ED1FFC598B}">
            <x14:dataBar minLength="0" maxLength="100" border="1" negativeBarBorderColorSameAsPositive="0">
              <x14:cfvo type="autoMin"/>
              <x14:cfvo type="autoMax"/>
              <x14:borderColor rgb="FF638EC6"/>
              <x14:negativeFillColor rgb="FFFF0000"/>
              <x14:negativeBorderColor rgb="FFFF0000"/>
              <x14:axisColor rgb="FF000000"/>
            </x14:dataBar>
          </x14:cfRule>
          <xm:sqref>I1:I1048576</xm:sqref>
        </x14:conditionalFormatting>
      </x14:conditionalFormattings>
    </ext>
    <ext xmlns:x14="http://schemas.microsoft.com/office/spreadsheetml/2009/9/main" uri="{05C60535-1F16-4fd2-B633-F4F36F0B64E0}">
      <x14:sparklineGroups xmlns:xm="http://schemas.microsoft.com/office/excel/2006/main">
        <x14:sparklineGroup manualMax="0" manualMin="0" displayEmptyCellsAs="gap" markers="1" high="1" low="1" first="1" last="1" negative="1" xr2:uid="{5698D963-B0DA-4754-8A6A-CCBC573ACE42}">
          <x14:colorSeries theme="4" tint="-0.249977111117893"/>
          <x14:colorNegative rgb="FFD00000"/>
          <x14:colorAxis rgb="FF000000"/>
          <x14:colorMarkers rgb="FFD00000"/>
          <x14:colorFirst rgb="FFD00000"/>
          <x14:colorLast rgb="FFD00000"/>
          <x14:colorHigh rgb="FFD00000"/>
          <x14:colorLow rgb="FFD00000"/>
          <x14:sparklines>
            <x14:sparkline>
              <xm:f>'Student Marksheet '!C5:G5</xm:f>
              <xm:sqref>M5</xm:sqref>
            </x14:sparkline>
            <x14:sparkline>
              <xm:f>'Student Marksheet '!C6:G6</xm:f>
              <xm:sqref>M6</xm:sqref>
            </x14:sparkline>
            <x14:sparkline>
              <xm:f>'Student Marksheet '!C7:G7</xm:f>
              <xm:sqref>M7</xm:sqref>
            </x14:sparkline>
            <x14:sparkline>
              <xm:f>'Student Marksheet '!C8:G8</xm:f>
              <xm:sqref>M8</xm:sqref>
            </x14:sparkline>
            <x14:sparkline>
              <xm:f>'Student Marksheet '!C9:G9</xm:f>
              <xm:sqref>M9</xm:sqref>
            </x14:sparkline>
            <x14:sparkline>
              <xm:f>'Student Marksheet '!C10:G10</xm:f>
              <xm:sqref>M10</xm:sqref>
            </x14:sparkline>
            <x14:sparkline>
              <xm:f>'Student Marksheet '!C11:G11</xm:f>
              <xm:sqref>M11</xm:sqref>
            </x14:sparkline>
            <x14:sparkline>
              <xm:f>'Student Marksheet '!C12:G12</xm:f>
              <xm:sqref>M12</xm:sqref>
            </x14:sparkline>
            <x14:sparkline>
              <xm:f>'Student Marksheet '!C13:G13</xm:f>
              <xm:sqref>M13</xm:sqref>
            </x14:sparkline>
            <x14:sparkline>
              <xm:f>'Student Marksheet '!C14:G14</xm:f>
              <xm:sqref>M14</xm:sqref>
            </x14:sparkline>
            <x14:sparkline>
              <xm:f>'Student Marksheet '!C15:G15</xm:f>
              <xm:sqref>M15</xm:sqref>
            </x14:sparkline>
            <x14:sparkline>
              <xm:f>'Student Marksheet '!C16:G16</xm:f>
              <xm:sqref>M16</xm:sqref>
            </x14:sparkline>
            <x14:sparkline>
              <xm:f>'Student Marksheet '!C17:G17</xm:f>
              <xm:sqref>M17</xm:sqref>
            </x14:sparkline>
            <x14:sparkline>
              <xm:f>'Student Marksheet '!C18:G18</xm:f>
              <xm:sqref>M18</xm:sqref>
            </x14:sparkline>
            <x14:sparkline>
              <xm:f>'Student Marksheet '!C19:G19</xm:f>
              <xm:sqref>M19</xm:sqref>
            </x14:sparkline>
            <x14:sparkline>
              <xm:f>'Student Marksheet '!C20:G20</xm:f>
              <xm:sqref>M20</xm:sqref>
            </x14:sparkline>
            <x14:sparkline>
              <xm:f>'Student Marksheet '!C21:G21</xm:f>
              <xm:sqref>M21</xm:sqref>
            </x14:sparkline>
            <x14:sparkline>
              <xm:f>'Student Marksheet '!C22:G22</xm:f>
              <xm:sqref>M22</xm:sqref>
            </x14:sparkline>
            <x14:sparkline>
              <xm:f>'Student Marksheet '!C23:G23</xm:f>
              <xm:sqref>M23</xm:sqref>
            </x14:sparkline>
            <x14:sparkline>
              <xm:f>'Student Marksheet '!C24:G24</xm:f>
              <xm:sqref>M24</xm:sqref>
            </x14:sparkline>
            <x14:sparkline>
              <xm:f>'Student Marksheet '!C25:G25</xm:f>
              <xm:sqref>M25</xm:sqref>
            </x14:sparkline>
            <x14:sparkline>
              <xm:f>'Student Marksheet '!C26:G26</xm:f>
              <xm:sqref>M26</xm:sqref>
            </x14:sparkline>
            <x14:sparkline>
              <xm:f>'Student Marksheet '!C27:G27</xm:f>
              <xm:sqref>M27</xm:sqref>
            </x14:sparkline>
            <x14:sparkline>
              <xm:f>'Student Marksheet '!C28:G28</xm:f>
              <xm:sqref>M28</xm:sqref>
            </x14:sparkline>
            <x14:sparkline>
              <xm:f>'Student Marksheet '!C29:G29</xm:f>
              <xm:sqref>M29</xm:sqref>
            </x14:sparkline>
            <x14:sparkline>
              <xm:f>'Student Marksheet '!C30:G30</xm:f>
              <xm:sqref>M30</xm:sqref>
            </x14:sparkline>
            <x14:sparkline>
              <xm:f>'Student Marksheet '!C31:G31</xm:f>
              <xm:sqref>M31</xm:sqref>
            </x14:sparkline>
            <x14:sparkline>
              <xm:f>'Student Marksheet '!C32:G32</xm:f>
              <xm:sqref>M32</xm:sqref>
            </x14:sparkline>
            <x14:sparkline>
              <xm:f>'Student Marksheet '!C33:G33</xm:f>
              <xm:sqref>M33</xm:sqref>
            </x14:sparkline>
            <x14:sparkline>
              <xm:f>'Student Marksheet '!C34:G34</xm:f>
              <xm:sqref>M34</xm:sqref>
            </x14:sparkline>
            <x14:sparkline>
              <xm:f>'Student Marksheet '!C35:G35</xm:f>
              <xm:sqref>M35</xm:sqref>
            </x14:sparkline>
            <x14:sparkline>
              <xm:f>'Student Marksheet '!C36:G36</xm:f>
              <xm:sqref>M36</xm:sqref>
            </x14:sparkline>
            <x14:sparkline>
              <xm:f>'Student Marksheet '!C37:G37</xm:f>
              <xm:sqref>M37</xm:sqref>
            </x14:sparkline>
            <x14:sparkline>
              <xm:f>'Student Marksheet '!C38:G38</xm:f>
              <xm:sqref>M38</xm:sqref>
            </x14:sparkline>
            <x14:sparkline>
              <xm:f>'Student Marksheet '!C39:G39</xm:f>
              <xm:sqref>M39</xm:sqref>
            </x14:sparkline>
            <x14:sparkline>
              <xm:f>'Student Marksheet '!C40:G40</xm:f>
              <xm:sqref>M40</xm:sqref>
            </x14:sparkline>
            <x14:sparkline>
              <xm:f>'Student Marksheet '!C41:G41</xm:f>
              <xm:sqref>M41</xm:sqref>
            </x14:sparkline>
            <x14:sparkline>
              <xm:f>'Student Marksheet '!C42:G42</xm:f>
              <xm:sqref>M42</xm:sqref>
            </x14:sparkline>
            <x14:sparkline>
              <xm:f>'Student Marksheet '!C43:G43</xm:f>
              <xm:sqref>M43</xm:sqref>
            </x14:sparkline>
            <x14:sparkline>
              <xm:f>'Student Marksheet '!C44:G44</xm:f>
              <xm:sqref>M44</xm:sqref>
            </x14:sparkline>
            <x14:sparkline>
              <xm:f>'Student Marksheet '!C45:G45</xm:f>
              <xm:sqref>M45</xm:sqref>
            </x14:sparkline>
            <x14:sparkline>
              <xm:f>'Student Marksheet '!C46:G46</xm:f>
              <xm:sqref>M46</xm:sqref>
            </x14:sparkline>
            <x14:sparkline>
              <xm:f>'Student Marksheet '!C47:G47</xm:f>
              <xm:sqref>M47</xm:sqref>
            </x14:sparkline>
            <x14:sparkline>
              <xm:f>'Student Marksheet '!C48:G48</xm:f>
              <xm:sqref>M48</xm:sqref>
            </x14:sparkline>
            <x14:sparkline>
              <xm:f>'Student Marksheet '!C49:G49</xm:f>
              <xm:sqref>M49</xm:sqref>
            </x14:sparkline>
            <x14:sparkline>
              <xm:f>'Student Marksheet '!C50:G50</xm:f>
              <xm:sqref>M50</xm:sqref>
            </x14:sparkline>
            <x14:sparkline>
              <xm:f>'Student Marksheet '!C51:G51</xm:f>
              <xm:sqref>M51</xm:sqref>
            </x14:sparkline>
            <x14:sparkline>
              <xm:f>'Student Marksheet '!C52:G52</xm:f>
              <xm:sqref>M52</xm:sqref>
            </x14:sparkline>
            <x14:sparkline>
              <xm:f>'Student Marksheet '!C53:G53</xm:f>
              <xm:sqref>M53</xm:sqref>
            </x14:sparkline>
            <x14:sparkline>
              <xm:f>'Student Marksheet '!C54:G54</xm:f>
              <xm:sqref>M54</xm:sqref>
            </x14:sparkline>
          </x14:sparklines>
        </x14:sparklineGroup>
      </x14:sparklineGroup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0423-4AF4-4AE6-B9BC-FEC1F3EE6EA4}">
  <dimension ref="A1"/>
  <sheetViews>
    <sheetView workbookViewId="0">
      <selection activeCell="A3" sqref="A3"/>
    </sheetView>
  </sheetViews>
  <sheetFormatPr defaultRowHeight="14.5" x14ac:dyDescent="0.3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F62A-9323-4405-B6E4-875C5DB92B95}">
  <sheetPr>
    <tabColor rgb="FFC00000"/>
    <pageSetUpPr fitToPage="1"/>
  </sheetPr>
  <dimension ref="A1:K34"/>
  <sheetViews>
    <sheetView tabSelected="1" topLeftCell="A16" zoomScaleNormal="100" workbookViewId="0">
      <selection activeCell="F23" sqref="F23"/>
    </sheetView>
  </sheetViews>
  <sheetFormatPr defaultRowHeight="14.5" x14ac:dyDescent="0.35"/>
  <cols>
    <col min="1" max="1" width="13.6328125" customWidth="1"/>
    <col min="2" max="2" width="17.08984375" bestFit="1" customWidth="1"/>
    <col min="3" max="3" width="15.54296875" style="96" bestFit="1" customWidth="1"/>
    <col min="4" max="4" width="17.81640625" bestFit="1" customWidth="1"/>
    <col min="5" max="5" width="17.6328125" customWidth="1"/>
    <col min="6" max="6" width="15.6328125" customWidth="1"/>
    <col min="8" max="8" width="26.54296875" bestFit="1" customWidth="1"/>
    <col min="9" max="9" width="11.54296875" style="96" bestFit="1" customWidth="1"/>
    <col min="10" max="11" width="17.6328125" style="96" customWidth="1"/>
    <col min="12" max="13" width="16.6328125" customWidth="1"/>
    <col min="14" max="15" width="13.6328125" customWidth="1"/>
    <col min="16" max="16" width="17.90625" bestFit="1" customWidth="1"/>
  </cols>
  <sheetData>
    <row r="1" spans="1:11" x14ac:dyDescent="0.35">
      <c r="F1" s="96"/>
    </row>
    <row r="2" spans="1:11" ht="26" x14ac:dyDescent="0.5">
      <c r="E2" s="131" t="s">
        <v>345</v>
      </c>
      <c r="F2" s="130"/>
      <c r="I2" s="109"/>
      <c r="J2" s="109"/>
      <c r="K2" s="109"/>
    </row>
    <row r="3" spans="1:11" ht="23.5" x14ac:dyDescent="0.35">
      <c r="I3" s="128" t="s">
        <v>333</v>
      </c>
      <c r="J3" s="110"/>
      <c r="K3" s="110"/>
    </row>
    <row r="4" spans="1:11" x14ac:dyDescent="0.35">
      <c r="A4" s="97" t="s">
        <v>3</v>
      </c>
      <c r="B4" s="98" t="s">
        <v>328</v>
      </c>
      <c r="C4" s="99" t="s">
        <v>282</v>
      </c>
      <c r="D4" s="98" t="s">
        <v>280</v>
      </c>
      <c r="E4" s="100" t="s">
        <v>281</v>
      </c>
    </row>
    <row r="5" spans="1:11" ht="15" thickBot="1" x14ac:dyDescent="0.4">
      <c r="A5" s="101">
        <v>46166</v>
      </c>
      <c r="B5" s="102" t="s">
        <v>322</v>
      </c>
      <c r="C5" s="103">
        <v>450</v>
      </c>
      <c r="D5" s="102" t="s">
        <v>284</v>
      </c>
      <c r="E5" s="104" t="s">
        <v>323</v>
      </c>
      <c r="H5" s="111" t="s">
        <v>340</v>
      </c>
      <c r="I5" s="112" t="s">
        <v>339</v>
      </c>
      <c r="J5"/>
      <c r="K5"/>
    </row>
    <row r="6" spans="1:11" ht="15.5" x14ac:dyDescent="0.35">
      <c r="A6" s="105">
        <v>46146</v>
      </c>
      <c r="B6" s="106" t="s">
        <v>292</v>
      </c>
      <c r="C6" s="107">
        <v>120</v>
      </c>
      <c r="D6" s="106" t="s">
        <v>289</v>
      </c>
      <c r="E6" s="108" t="s">
        <v>293</v>
      </c>
      <c r="H6" s="113" t="s">
        <v>341</v>
      </c>
      <c r="I6" s="114">
        <v>30000</v>
      </c>
      <c r="J6"/>
      <c r="K6"/>
    </row>
    <row r="7" spans="1:11" ht="15.5" x14ac:dyDescent="0.35">
      <c r="A7" s="101">
        <v>46164</v>
      </c>
      <c r="B7" s="102" t="s">
        <v>319</v>
      </c>
      <c r="C7" s="103">
        <v>499</v>
      </c>
      <c r="D7" s="102" t="s">
        <v>297</v>
      </c>
      <c r="E7" s="104" t="s">
        <v>293</v>
      </c>
      <c r="H7" s="115" t="s">
        <v>332</v>
      </c>
      <c r="I7" s="116">
        <f>SUBTOTAL(9,C5:C34)</f>
        <v>23726</v>
      </c>
      <c r="J7"/>
      <c r="K7"/>
    </row>
    <row r="8" spans="1:11" ht="15.5" x14ac:dyDescent="0.35">
      <c r="A8" s="105">
        <v>46150</v>
      </c>
      <c r="B8" s="106" t="s">
        <v>301</v>
      </c>
      <c r="C8" s="107">
        <v>1599</v>
      </c>
      <c r="D8" s="106" t="s">
        <v>286</v>
      </c>
      <c r="E8" s="108" t="s">
        <v>302</v>
      </c>
      <c r="H8" s="117" t="s">
        <v>329</v>
      </c>
      <c r="I8" s="118">
        <f>AVERAGE(C5:C33)</f>
        <v>711.24137931034488</v>
      </c>
      <c r="J8"/>
      <c r="K8"/>
    </row>
    <row r="9" spans="1:11" ht="15.5" x14ac:dyDescent="0.35">
      <c r="A9" s="101">
        <v>46155</v>
      </c>
      <c r="B9" s="102" t="s">
        <v>309</v>
      </c>
      <c r="C9" s="103">
        <v>650</v>
      </c>
      <c r="D9" s="102" t="s">
        <v>284</v>
      </c>
      <c r="E9" s="104" t="s">
        <v>302</v>
      </c>
      <c r="H9" s="117" t="s">
        <v>330</v>
      </c>
      <c r="I9" s="118">
        <f>MAX(C5:C34)</f>
        <v>3100</v>
      </c>
      <c r="J9"/>
      <c r="K9"/>
    </row>
    <row r="10" spans="1:11" ht="15.5" x14ac:dyDescent="0.35">
      <c r="A10" s="105">
        <v>46161</v>
      </c>
      <c r="B10" s="106" t="s">
        <v>316</v>
      </c>
      <c r="C10" s="107">
        <v>799</v>
      </c>
      <c r="D10" s="106" t="s">
        <v>284</v>
      </c>
      <c r="E10" s="108" t="s">
        <v>302</v>
      </c>
      <c r="H10" s="117" t="s">
        <v>331</v>
      </c>
      <c r="I10" s="118">
        <f>MIN(C5:C34)</f>
        <v>120</v>
      </c>
      <c r="J10"/>
      <c r="K10"/>
    </row>
    <row r="11" spans="1:11" ht="15.5" x14ac:dyDescent="0.35">
      <c r="A11" s="101">
        <v>46167</v>
      </c>
      <c r="B11" s="102" t="s">
        <v>324</v>
      </c>
      <c r="C11" s="103">
        <v>299</v>
      </c>
      <c r="D11" s="102" t="s">
        <v>289</v>
      </c>
      <c r="E11" s="104" t="s">
        <v>302</v>
      </c>
      <c r="H11" s="117" t="s">
        <v>336</v>
      </c>
      <c r="I11" s="119">
        <f>30000-I7</f>
        <v>6274</v>
      </c>
      <c r="J11"/>
      <c r="K11"/>
    </row>
    <row r="12" spans="1:11" ht="15.5" x14ac:dyDescent="0.35">
      <c r="A12" s="105">
        <v>46144</v>
      </c>
      <c r="B12" s="106" t="s">
        <v>285</v>
      </c>
      <c r="C12" s="107">
        <v>350</v>
      </c>
      <c r="D12" s="106" t="s">
        <v>286</v>
      </c>
      <c r="E12" s="108" t="s">
        <v>287</v>
      </c>
      <c r="H12" s="117" t="s">
        <v>338</v>
      </c>
      <c r="I12" s="120">
        <f>I13-I7</f>
        <v>1274</v>
      </c>
      <c r="J12"/>
      <c r="K12"/>
    </row>
    <row r="13" spans="1:11" ht="15.5" x14ac:dyDescent="0.35">
      <c r="A13" s="101">
        <v>46159</v>
      </c>
      <c r="B13" s="102" t="s">
        <v>314</v>
      </c>
      <c r="C13" s="103">
        <v>649</v>
      </c>
      <c r="D13" s="102" t="s">
        <v>286</v>
      </c>
      <c r="E13" s="104" t="s">
        <v>287</v>
      </c>
      <c r="H13" s="117" t="s">
        <v>342</v>
      </c>
      <c r="I13" s="119">
        <v>25000</v>
      </c>
      <c r="J13"/>
      <c r="K13"/>
    </row>
    <row r="14" spans="1:11" ht="15.5" x14ac:dyDescent="0.35">
      <c r="A14" s="105">
        <v>46151</v>
      </c>
      <c r="B14" s="106" t="s">
        <v>303</v>
      </c>
      <c r="C14" s="107">
        <v>1200</v>
      </c>
      <c r="D14" s="106" t="s">
        <v>284</v>
      </c>
      <c r="E14" s="108" t="s">
        <v>304</v>
      </c>
      <c r="H14" s="121" t="s">
        <v>337</v>
      </c>
      <c r="I14" s="122" t="s">
        <v>284</v>
      </c>
      <c r="J14"/>
      <c r="K14"/>
    </row>
    <row r="15" spans="1:11" x14ac:dyDescent="0.35">
      <c r="A15" s="101">
        <v>46158</v>
      </c>
      <c r="B15" s="102" t="s">
        <v>313</v>
      </c>
      <c r="C15" s="103">
        <v>2200</v>
      </c>
      <c r="D15" s="102" t="s">
        <v>297</v>
      </c>
      <c r="E15" s="104" t="s">
        <v>304</v>
      </c>
      <c r="J15"/>
      <c r="K15"/>
    </row>
    <row r="16" spans="1:11" x14ac:dyDescent="0.35">
      <c r="A16" s="105">
        <v>46143</v>
      </c>
      <c r="B16" s="106" t="s">
        <v>283</v>
      </c>
      <c r="C16" s="107">
        <v>1450</v>
      </c>
      <c r="D16" s="106" t="s">
        <v>284</v>
      </c>
      <c r="E16" s="108" t="s">
        <v>11</v>
      </c>
      <c r="J16"/>
    </row>
    <row r="17" spans="1:11" ht="21" x14ac:dyDescent="0.35">
      <c r="A17" s="101">
        <v>46145</v>
      </c>
      <c r="B17" s="102" t="s">
        <v>291</v>
      </c>
      <c r="C17" s="103">
        <v>499</v>
      </c>
      <c r="D17" s="102" t="s">
        <v>284</v>
      </c>
      <c r="E17" s="104" t="s">
        <v>11</v>
      </c>
      <c r="I17" s="129" t="s">
        <v>343</v>
      </c>
      <c r="J17"/>
    </row>
    <row r="18" spans="1:11" x14ac:dyDescent="0.35">
      <c r="A18" s="105">
        <v>46148</v>
      </c>
      <c r="B18" s="106" t="s">
        <v>299</v>
      </c>
      <c r="C18" s="107">
        <v>180</v>
      </c>
      <c r="D18" s="106" t="s">
        <v>289</v>
      </c>
      <c r="E18" s="108" t="s">
        <v>11</v>
      </c>
    </row>
    <row r="19" spans="1:11" ht="15.5" x14ac:dyDescent="0.35">
      <c r="A19" s="101">
        <v>46152</v>
      </c>
      <c r="B19" s="102" t="s">
        <v>305</v>
      </c>
      <c r="C19" s="103">
        <v>275</v>
      </c>
      <c r="D19" s="102" t="s">
        <v>289</v>
      </c>
      <c r="E19" s="104" t="s">
        <v>11</v>
      </c>
      <c r="H19" s="125" t="s">
        <v>281</v>
      </c>
      <c r="I19" s="126" t="s">
        <v>344</v>
      </c>
      <c r="J19"/>
      <c r="K19"/>
    </row>
    <row r="20" spans="1:11" x14ac:dyDescent="0.35">
      <c r="A20" s="105">
        <v>46156</v>
      </c>
      <c r="B20" s="106" t="s">
        <v>310</v>
      </c>
      <c r="C20" s="107">
        <v>150</v>
      </c>
      <c r="D20" s="106" t="s">
        <v>289</v>
      </c>
      <c r="E20" s="108" t="s">
        <v>11</v>
      </c>
      <c r="H20" s="124" t="s">
        <v>293</v>
      </c>
      <c r="I20" s="127">
        <f t="shared" ref="I20:I31" si="0">SUMIF($E$5:$E$34,H20,$C$5:$C$34)</f>
        <v>619</v>
      </c>
    </row>
    <row r="21" spans="1:11" x14ac:dyDescent="0.35">
      <c r="A21" s="101">
        <v>46162</v>
      </c>
      <c r="B21" s="102" t="s">
        <v>317</v>
      </c>
      <c r="C21" s="103">
        <v>140</v>
      </c>
      <c r="D21" s="102" t="s">
        <v>289</v>
      </c>
      <c r="E21" s="104" t="s">
        <v>11</v>
      </c>
      <c r="H21" s="123" t="s">
        <v>302</v>
      </c>
      <c r="I21" s="127">
        <f t="shared" si="0"/>
        <v>3347</v>
      </c>
    </row>
    <row r="22" spans="1:11" x14ac:dyDescent="0.35">
      <c r="A22" s="105">
        <v>46168</v>
      </c>
      <c r="B22" s="106" t="s">
        <v>325</v>
      </c>
      <c r="C22" s="107">
        <v>390</v>
      </c>
      <c r="D22" s="106" t="s">
        <v>284</v>
      </c>
      <c r="E22" s="108" t="s">
        <v>11</v>
      </c>
      <c r="H22" s="124" t="s">
        <v>287</v>
      </c>
      <c r="I22" s="127">
        <f t="shared" si="0"/>
        <v>999</v>
      </c>
    </row>
    <row r="23" spans="1:11" x14ac:dyDescent="0.35">
      <c r="A23" s="101">
        <v>46165</v>
      </c>
      <c r="B23" s="102" t="s">
        <v>320</v>
      </c>
      <c r="C23" s="103">
        <v>320</v>
      </c>
      <c r="D23" s="102" t="s">
        <v>289</v>
      </c>
      <c r="E23" s="104" t="s">
        <v>321</v>
      </c>
      <c r="H23" s="123" t="s">
        <v>304</v>
      </c>
      <c r="I23" s="127">
        <f t="shared" si="0"/>
        <v>3400</v>
      </c>
    </row>
    <row r="24" spans="1:11" x14ac:dyDescent="0.35">
      <c r="A24" s="105">
        <v>46170</v>
      </c>
      <c r="B24" s="106" t="s">
        <v>327</v>
      </c>
      <c r="C24" s="107">
        <v>260</v>
      </c>
      <c r="D24" s="106" t="s">
        <v>297</v>
      </c>
      <c r="E24" s="108" t="s">
        <v>321</v>
      </c>
      <c r="H24" s="124" t="s">
        <v>11</v>
      </c>
      <c r="I24" s="127">
        <f t="shared" si="0"/>
        <v>3084</v>
      </c>
    </row>
    <row r="25" spans="1:11" x14ac:dyDescent="0.35">
      <c r="A25" s="101">
        <v>46148</v>
      </c>
      <c r="B25" s="102" t="s">
        <v>296</v>
      </c>
      <c r="C25" s="103">
        <v>2499</v>
      </c>
      <c r="D25" s="102" t="s">
        <v>297</v>
      </c>
      <c r="E25" s="104" t="s">
        <v>298</v>
      </c>
      <c r="H25" s="123" t="s">
        <v>321</v>
      </c>
      <c r="I25" s="127">
        <f t="shared" si="0"/>
        <v>580</v>
      </c>
    </row>
    <row r="26" spans="1:11" x14ac:dyDescent="0.35">
      <c r="A26" s="105">
        <v>46153</v>
      </c>
      <c r="B26" s="106" t="s">
        <v>306</v>
      </c>
      <c r="C26" s="107">
        <v>899</v>
      </c>
      <c r="D26" s="106" t="s">
        <v>297</v>
      </c>
      <c r="E26" s="108" t="s">
        <v>298</v>
      </c>
      <c r="H26" s="124" t="s">
        <v>298</v>
      </c>
      <c r="I26" s="127">
        <f t="shared" si="0"/>
        <v>3748</v>
      </c>
    </row>
    <row r="27" spans="1:11" x14ac:dyDescent="0.35">
      <c r="A27" s="101">
        <v>46160</v>
      </c>
      <c r="B27" s="102" t="s">
        <v>315</v>
      </c>
      <c r="C27" s="103">
        <v>350</v>
      </c>
      <c r="D27" s="102" t="s">
        <v>289</v>
      </c>
      <c r="E27" s="104" t="s">
        <v>298</v>
      </c>
      <c r="H27" s="123" t="s">
        <v>290</v>
      </c>
      <c r="I27" s="127">
        <f t="shared" si="0"/>
        <v>3140</v>
      </c>
    </row>
    <row r="28" spans="1:11" x14ac:dyDescent="0.35">
      <c r="A28" s="105">
        <v>46169</v>
      </c>
      <c r="B28" s="106" t="s">
        <v>326</v>
      </c>
      <c r="C28" s="107">
        <v>180</v>
      </c>
      <c r="D28" s="106" t="s">
        <v>289</v>
      </c>
      <c r="E28" s="108" t="s">
        <v>12</v>
      </c>
      <c r="H28" s="124" t="s">
        <v>295</v>
      </c>
      <c r="I28" s="127">
        <f t="shared" si="0"/>
        <v>3399</v>
      </c>
    </row>
    <row r="29" spans="1:11" x14ac:dyDescent="0.35">
      <c r="A29" s="101">
        <v>46145</v>
      </c>
      <c r="B29" s="102" t="s">
        <v>288</v>
      </c>
      <c r="C29" s="103">
        <v>2200</v>
      </c>
      <c r="D29" s="102" t="s">
        <v>289</v>
      </c>
      <c r="E29" s="104" t="s">
        <v>290</v>
      </c>
      <c r="H29" s="123" t="s">
        <v>312</v>
      </c>
      <c r="I29" s="127">
        <f t="shared" si="0"/>
        <v>780</v>
      </c>
    </row>
    <row r="30" spans="1:11" x14ac:dyDescent="0.35">
      <c r="A30" s="105">
        <v>46149</v>
      </c>
      <c r="B30" s="106" t="s">
        <v>300</v>
      </c>
      <c r="C30" s="107">
        <v>340</v>
      </c>
      <c r="D30" s="106" t="s">
        <v>284</v>
      </c>
      <c r="E30" s="108" t="s">
        <v>290</v>
      </c>
      <c r="H30" s="124" t="s">
        <v>12</v>
      </c>
      <c r="I30" s="127">
        <f t="shared" si="0"/>
        <v>180</v>
      </c>
    </row>
    <row r="31" spans="1:11" x14ac:dyDescent="0.35">
      <c r="A31" s="101">
        <v>46163</v>
      </c>
      <c r="B31" s="102" t="s">
        <v>318</v>
      </c>
      <c r="C31" s="103">
        <v>600</v>
      </c>
      <c r="D31" s="102" t="s">
        <v>284</v>
      </c>
      <c r="E31" s="104" t="s">
        <v>290</v>
      </c>
      <c r="H31" s="123" t="s">
        <v>323</v>
      </c>
      <c r="I31" s="127">
        <f t="shared" si="0"/>
        <v>450</v>
      </c>
    </row>
    <row r="32" spans="1:11" x14ac:dyDescent="0.35">
      <c r="A32" s="105">
        <v>46157</v>
      </c>
      <c r="B32" s="106" t="s">
        <v>311</v>
      </c>
      <c r="C32" s="107">
        <v>780</v>
      </c>
      <c r="D32" s="106" t="s">
        <v>284</v>
      </c>
      <c r="E32" s="108" t="s">
        <v>312</v>
      </c>
    </row>
    <row r="33" spans="1:5" x14ac:dyDescent="0.35">
      <c r="A33" s="101">
        <v>46147</v>
      </c>
      <c r="B33" s="102" t="s">
        <v>294</v>
      </c>
      <c r="C33" s="103">
        <v>299</v>
      </c>
      <c r="D33" s="102" t="s">
        <v>284</v>
      </c>
      <c r="E33" s="104" t="s">
        <v>295</v>
      </c>
    </row>
    <row r="34" spans="1:5" x14ac:dyDescent="0.35">
      <c r="A34" s="105">
        <v>46154</v>
      </c>
      <c r="B34" s="106" t="s">
        <v>307</v>
      </c>
      <c r="C34" s="107">
        <v>3100</v>
      </c>
      <c r="D34" s="106" t="s">
        <v>308</v>
      </c>
      <c r="E34" s="108" t="s">
        <v>295</v>
      </c>
    </row>
  </sheetData>
  <autoFilter ref="A4:E34" xr:uid="{C16FF62A-9323-4405-B6E4-875C5DB92B95}"/>
  <phoneticPr fontId="24" type="noConversion"/>
  <conditionalFormatting sqref="C5:C34">
    <cfRule type="cellIs" dxfId="19" priority="1" operator="lessThan">
      <formula>500</formula>
    </cfRule>
    <cfRule type="cellIs" dxfId="18" priority="2" operator="greaterThan">
      <formula>2000</formula>
    </cfRule>
  </conditionalFormatting>
  <conditionalFormatting sqref="G4">
    <cfRule type="cellIs" dxfId="17" priority="3" operator="greaterThan">
      <formula>2000</formula>
    </cfRule>
  </conditionalFormatting>
  <pageMargins left="0.7" right="0.7" top="0.75" bottom="0.75" header="0.3" footer="0.3"/>
  <pageSetup paperSize="9" scale="64"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08D2-2C77-49B3-96A4-59541CC1D37A}">
  <sheetPr>
    <tabColor rgb="FF7030A0"/>
    <pageSetUpPr fitToPage="1"/>
  </sheetPr>
  <dimension ref="A1:V101"/>
  <sheetViews>
    <sheetView showGridLines="0" view="pageBreakPreview" topLeftCell="A43" zoomScale="43" zoomScaleNormal="82" zoomScaleSheetLayoutView="70" workbookViewId="0">
      <selection activeCell="V11" sqref="V11"/>
    </sheetView>
  </sheetViews>
  <sheetFormatPr defaultRowHeight="14.5" x14ac:dyDescent="0.35"/>
  <cols>
    <col min="1" max="1" width="11.7265625" style="188" bestFit="1" customWidth="1"/>
    <col min="2" max="2" width="12.36328125" style="188" bestFit="1" customWidth="1"/>
    <col min="3" max="3" width="18.7265625" style="188" bestFit="1" customWidth="1"/>
    <col min="4" max="4" width="10.6328125" style="188" customWidth="1"/>
    <col min="5" max="5" width="15.1796875" style="188" bestFit="1" customWidth="1"/>
    <col min="6" max="6" width="10.453125" style="188" bestFit="1" customWidth="1"/>
    <col min="7" max="7" width="12.6328125" style="188" customWidth="1"/>
    <col min="8" max="8" width="11.7265625" style="188" bestFit="1" customWidth="1"/>
    <col min="9" max="9" width="13.6328125" style="197" customWidth="1"/>
    <col min="10" max="10" width="18.36328125" style="188" bestFit="1" customWidth="1"/>
    <col min="11" max="12" width="10.6328125" style="195" customWidth="1"/>
    <col min="13" max="13" width="18.36328125" style="196" customWidth="1"/>
    <col min="14" max="14" width="15.1796875" style="188" bestFit="1" customWidth="1"/>
    <col min="15" max="15" width="15.1796875" style="188" customWidth="1"/>
    <col min="16" max="16384" width="8.7265625" style="188"/>
  </cols>
  <sheetData>
    <row r="1" spans="1:22" s="182" customFormat="1" ht="18.5" x14ac:dyDescent="0.45">
      <c r="C1" s="183"/>
      <c r="D1" s="184"/>
      <c r="E1" s="183"/>
      <c r="F1" s="184"/>
      <c r="G1" s="183"/>
      <c r="H1" s="184"/>
      <c r="I1" s="183"/>
      <c r="K1" s="185"/>
      <c r="L1" s="185"/>
      <c r="M1" s="186"/>
    </row>
    <row r="2" spans="1:22" ht="15.5" x14ac:dyDescent="0.35">
      <c r="A2" s="187"/>
      <c r="C2" s="189"/>
      <c r="D2" s="190"/>
      <c r="E2" s="191"/>
      <c r="F2" s="190"/>
      <c r="G2" s="192"/>
      <c r="H2" s="190"/>
      <c r="I2" s="193"/>
      <c r="J2" s="190"/>
      <c r="K2" s="194"/>
    </row>
    <row r="3" spans="1:22" x14ac:dyDescent="0.35">
      <c r="A3" s="187"/>
    </row>
    <row r="4" spans="1:22" x14ac:dyDescent="0.35">
      <c r="P4" s="198"/>
    </row>
    <row r="5" spans="1:22" x14ac:dyDescent="0.35">
      <c r="P5" s="198"/>
    </row>
    <row r="6" spans="1:22" x14ac:dyDescent="0.35">
      <c r="P6" s="198"/>
    </row>
    <row r="7" spans="1:22" x14ac:dyDescent="0.35">
      <c r="P7" s="198"/>
    </row>
    <row r="8" spans="1:22" x14ac:dyDescent="0.35">
      <c r="A8" s="199"/>
      <c r="P8" s="198"/>
    </row>
    <row r="9" spans="1:22" x14ac:dyDescent="0.35">
      <c r="P9" s="198"/>
    </row>
    <row r="10" spans="1:22" x14ac:dyDescent="0.35">
      <c r="P10" s="198"/>
    </row>
    <row r="11" spans="1:22" x14ac:dyDescent="0.35">
      <c r="P11" s="198"/>
      <c r="V11" s="188" t="s">
        <v>141</v>
      </c>
    </row>
    <row r="12" spans="1:22" x14ac:dyDescent="0.35">
      <c r="P12" s="198"/>
    </row>
    <row r="13" spans="1:22" x14ac:dyDescent="0.35">
      <c r="P13" s="198"/>
    </row>
    <row r="14" spans="1:22" x14ac:dyDescent="0.35">
      <c r="P14" s="198"/>
    </row>
    <row r="15" spans="1:22" x14ac:dyDescent="0.35">
      <c r="P15" s="198"/>
    </row>
    <row r="16" spans="1:22" x14ac:dyDescent="0.35">
      <c r="P16" s="198"/>
    </row>
    <row r="17" spans="16:16" x14ac:dyDescent="0.35">
      <c r="P17" s="198"/>
    </row>
    <row r="18" spans="16:16" x14ac:dyDescent="0.35">
      <c r="P18" s="198"/>
    </row>
    <row r="19" spans="16:16" x14ac:dyDescent="0.35">
      <c r="P19" s="198"/>
    </row>
    <row r="20" spans="16:16" x14ac:dyDescent="0.35">
      <c r="P20" s="198"/>
    </row>
    <row r="21" spans="16:16" x14ac:dyDescent="0.35">
      <c r="P21" s="198"/>
    </row>
    <row r="22" spans="16:16" x14ac:dyDescent="0.35">
      <c r="P22" s="198"/>
    </row>
    <row r="23" spans="16:16" x14ac:dyDescent="0.35">
      <c r="P23" s="198"/>
    </row>
    <row r="24" spans="16:16" x14ac:dyDescent="0.35">
      <c r="P24" s="198"/>
    </row>
    <row r="25" spans="16:16" x14ac:dyDescent="0.35">
      <c r="P25" s="198"/>
    </row>
    <row r="26" spans="16:16" x14ac:dyDescent="0.35">
      <c r="P26" s="198"/>
    </row>
    <row r="27" spans="16:16" x14ac:dyDescent="0.35">
      <c r="P27" s="198"/>
    </row>
    <row r="28" spans="16:16" x14ac:dyDescent="0.35">
      <c r="P28" s="198"/>
    </row>
    <row r="29" spans="16:16" x14ac:dyDescent="0.35">
      <c r="P29" s="198"/>
    </row>
    <row r="30" spans="16:16" x14ac:dyDescent="0.35">
      <c r="P30" s="198"/>
    </row>
    <row r="31" spans="16:16" x14ac:dyDescent="0.35">
      <c r="P31" s="198"/>
    </row>
    <row r="32" spans="16:16" x14ac:dyDescent="0.35">
      <c r="P32" s="198"/>
    </row>
    <row r="33" spans="16:16" x14ac:dyDescent="0.35">
      <c r="P33" s="198"/>
    </row>
    <row r="34" spans="16:16" x14ac:dyDescent="0.35">
      <c r="P34" s="198"/>
    </row>
    <row r="35" spans="16:16" x14ac:dyDescent="0.35">
      <c r="P35" s="198"/>
    </row>
    <row r="36" spans="16:16" x14ac:dyDescent="0.35">
      <c r="P36" s="198"/>
    </row>
    <row r="37" spans="16:16" x14ac:dyDescent="0.35">
      <c r="P37" s="198"/>
    </row>
    <row r="38" spans="16:16" x14ac:dyDescent="0.35">
      <c r="P38" s="198"/>
    </row>
    <row r="39" spans="16:16" x14ac:dyDescent="0.35">
      <c r="P39" s="198"/>
    </row>
    <row r="40" spans="16:16" x14ac:dyDescent="0.35">
      <c r="P40" s="198"/>
    </row>
    <row r="41" spans="16:16" x14ac:dyDescent="0.35">
      <c r="P41" s="198"/>
    </row>
    <row r="42" spans="16:16" x14ac:dyDescent="0.35">
      <c r="P42" s="198"/>
    </row>
    <row r="43" spans="16:16" x14ac:dyDescent="0.35">
      <c r="P43" s="198"/>
    </row>
    <row r="44" spans="16:16" x14ac:dyDescent="0.35">
      <c r="P44" s="198"/>
    </row>
    <row r="45" spans="16:16" x14ac:dyDescent="0.35">
      <c r="P45" s="198"/>
    </row>
    <row r="46" spans="16:16" x14ac:dyDescent="0.35">
      <c r="P46" s="198"/>
    </row>
    <row r="47" spans="16:16" x14ac:dyDescent="0.35">
      <c r="P47" s="198"/>
    </row>
    <row r="48" spans="16:16" x14ac:dyDescent="0.35">
      <c r="P48" s="198"/>
    </row>
    <row r="49" spans="16:16" x14ac:dyDescent="0.35">
      <c r="P49" s="198"/>
    </row>
    <row r="50" spans="16:16" x14ac:dyDescent="0.35">
      <c r="P50" s="198"/>
    </row>
    <row r="51" spans="16:16" x14ac:dyDescent="0.35">
      <c r="P51" s="198"/>
    </row>
    <row r="52" spans="16:16" x14ac:dyDescent="0.35">
      <c r="P52" s="198"/>
    </row>
    <row r="53" spans="16:16" x14ac:dyDescent="0.35">
      <c r="P53" s="198"/>
    </row>
    <row r="54" spans="16:16" x14ac:dyDescent="0.35">
      <c r="P54" s="198"/>
    </row>
    <row r="55" spans="16:16" x14ac:dyDescent="0.35">
      <c r="P55" s="198"/>
    </row>
    <row r="56" spans="16:16" x14ac:dyDescent="0.35">
      <c r="P56" s="198"/>
    </row>
    <row r="57" spans="16:16" x14ac:dyDescent="0.35">
      <c r="P57" s="198"/>
    </row>
    <row r="58" spans="16:16" x14ac:dyDescent="0.35">
      <c r="P58" s="198"/>
    </row>
    <row r="59" spans="16:16" x14ac:dyDescent="0.35">
      <c r="P59" s="198"/>
    </row>
    <row r="60" spans="16:16" x14ac:dyDescent="0.35">
      <c r="P60" s="198"/>
    </row>
    <row r="61" spans="16:16" x14ac:dyDescent="0.35">
      <c r="P61" s="198"/>
    </row>
    <row r="62" spans="16:16" x14ac:dyDescent="0.35">
      <c r="P62" s="198"/>
    </row>
    <row r="63" spans="16:16" x14ac:dyDescent="0.35">
      <c r="P63" s="198"/>
    </row>
    <row r="64" spans="16:16" x14ac:dyDescent="0.35">
      <c r="P64" s="198"/>
    </row>
    <row r="65" spans="16:16" x14ac:dyDescent="0.35">
      <c r="P65" s="198"/>
    </row>
    <row r="66" spans="16:16" x14ac:dyDescent="0.35">
      <c r="P66" s="198"/>
    </row>
    <row r="67" spans="16:16" x14ac:dyDescent="0.35">
      <c r="P67" s="198"/>
    </row>
    <row r="68" spans="16:16" x14ac:dyDescent="0.35">
      <c r="P68" s="198"/>
    </row>
    <row r="69" spans="16:16" x14ac:dyDescent="0.35">
      <c r="P69" s="198"/>
    </row>
    <row r="70" spans="16:16" x14ac:dyDescent="0.35">
      <c r="P70" s="198"/>
    </row>
    <row r="71" spans="16:16" x14ac:dyDescent="0.35">
      <c r="P71" s="198"/>
    </row>
    <row r="72" spans="16:16" x14ac:dyDescent="0.35">
      <c r="P72" s="198"/>
    </row>
    <row r="73" spans="16:16" x14ac:dyDescent="0.35">
      <c r="P73" s="198"/>
    </row>
    <row r="74" spans="16:16" x14ac:dyDescent="0.35">
      <c r="P74" s="198"/>
    </row>
    <row r="75" spans="16:16" x14ac:dyDescent="0.35">
      <c r="P75" s="198"/>
    </row>
    <row r="76" spans="16:16" x14ac:dyDescent="0.35">
      <c r="P76" s="198"/>
    </row>
    <row r="77" spans="16:16" x14ac:dyDescent="0.35">
      <c r="P77" s="198"/>
    </row>
    <row r="78" spans="16:16" x14ac:dyDescent="0.35">
      <c r="P78" s="198"/>
    </row>
    <row r="79" spans="16:16" x14ac:dyDescent="0.35">
      <c r="P79" s="198"/>
    </row>
    <row r="80" spans="16:16" x14ac:dyDescent="0.35">
      <c r="P80" s="198"/>
    </row>
    <row r="81" spans="16:16" x14ac:dyDescent="0.35">
      <c r="P81" s="198"/>
    </row>
    <row r="82" spans="16:16" x14ac:dyDescent="0.35">
      <c r="P82" s="198"/>
    </row>
    <row r="83" spans="16:16" x14ac:dyDescent="0.35">
      <c r="P83" s="198"/>
    </row>
    <row r="84" spans="16:16" x14ac:dyDescent="0.35">
      <c r="P84" s="198"/>
    </row>
    <row r="85" spans="16:16" x14ac:dyDescent="0.35">
      <c r="P85" s="198"/>
    </row>
    <row r="86" spans="16:16" x14ac:dyDescent="0.35">
      <c r="P86" s="198"/>
    </row>
    <row r="87" spans="16:16" x14ac:dyDescent="0.35">
      <c r="P87" s="198"/>
    </row>
    <row r="88" spans="16:16" x14ac:dyDescent="0.35">
      <c r="P88" s="198"/>
    </row>
    <row r="89" spans="16:16" x14ac:dyDescent="0.35">
      <c r="P89" s="198"/>
    </row>
    <row r="90" spans="16:16" x14ac:dyDescent="0.35">
      <c r="P90" s="198"/>
    </row>
    <row r="91" spans="16:16" x14ac:dyDescent="0.35">
      <c r="P91" s="198"/>
    </row>
    <row r="92" spans="16:16" x14ac:dyDescent="0.35">
      <c r="P92" s="198"/>
    </row>
    <row r="93" spans="16:16" x14ac:dyDescent="0.35">
      <c r="P93" s="198"/>
    </row>
    <row r="94" spans="16:16" x14ac:dyDescent="0.35">
      <c r="P94" s="198"/>
    </row>
    <row r="95" spans="16:16" x14ac:dyDescent="0.35">
      <c r="P95" s="198"/>
    </row>
    <row r="96" spans="16:16" x14ac:dyDescent="0.35">
      <c r="P96" s="198"/>
    </row>
    <row r="97" spans="16:16" x14ac:dyDescent="0.35">
      <c r="P97" s="198"/>
    </row>
    <row r="98" spans="16:16" x14ac:dyDescent="0.35">
      <c r="P98" s="198"/>
    </row>
    <row r="99" spans="16:16" x14ac:dyDescent="0.35">
      <c r="P99" s="198"/>
    </row>
    <row r="100" spans="16:16" x14ac:dyDescent="0.35">
      <c r="P100" s="198"/>
    </row>
    <row r="101" spans="16:16" x14ac:dyDescent="0.35">
      <c r="P101" s="198"/>
    </row>
  </sheetData>
  <pageMargins left="0.7" right="0.7" top="0.75" bottom="0.75" header="0.3" footer="0.3"/>
  <pageSetup paperSize="9" scale="32" orientation="landscape" r:id="rId1"/>
  <drawing r:id="rId2"/>
  <extLst>
    <ext xmlns:x14="http://schemas.microsoft.com/office/spreadsheetml/2009/9/main" uri="{A8765BA9-456A-4dab-B4F3-ACF838C121DE}">
      <x14:slicerList>
        <x14:slicer r:id="rId3"/>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3C27D-5B59-4E3C-A9F2-FDD7E68F1252}">
  <dimension ref="X8:AF33"/>
  <sheetViews>
    <sheetView topLeftCell="C10" zoomScale="84" zoomScaleNormal="84" workbookViewId="0">
      <selection activeCell="J18" sqref="J18"/>
    </sheetView>
  </sheetViews>
  <sheetFormatPr defaultRowHeight="14.5" x14ac:dyDescent="0.35"/>
  <cols>
    <col min="1" max="1" width="12.36328125" bestFit="1" customWidth="1"/>
    <col min="2" max="2" width="18.7265625" bestFit="1" customWidth="1"/>
    <col min="14" max="14" width="12.36328125" bestFit="1" customWidth="1"/>
    <col min="15" max="15" width="18.7265625" bestFit="1" customWidth="1"/>
  </cols>
  <sheetData>
    <row r="8" spans="24:32" x14ac:dyDescent="0.35">
      <c r="X8" s="8" t="s">
        <v>20</v>
      </c>
      <c r="Y8" t="s">
        <v>603</v>
      </c>
      <c r="AE8" s="8" t="s">
        <v>20</v>
      </c>
      <c r="AF8" t="s">
        <v>603</v>
      </c>
    </row>
    <row r="9" spans="24:32" x14ac:dyDescent="0.35">
      <c r="X9" s="12" t="s">
        <v>591</v>
      </c>
      <c r="Y9" s="166">
        <v>59880.899999999994</v>
      </c>
      <c r="AE9" s="12" t="s">
        <v>581</v>
      </c>
      <c r="AF9" s="166">
        <v>207587.16000000009</v>
      </c>
    </row>
    <row r="10" spans="24:32" x14ac:dyDescent="0.35">
      <c r="X10" s="12" t="s">
        <v>592</v>
      </c>
      <c r="Y10" s="166">
        <v>43409.200000000004</v>
      </c>
      <c r="AE10" s="12" t="s">
        <v>289</v>
      </c>
      <c r="AF10" s="166">
        <v>117172.93999999997</v>
      </c>
    </row>
    <row r="11" spans="24:32" x14ac:dyDescent="0.35">
      <c r="X11" s="12" t="s">
        <v>593</v>
      </c>
      <c r="Y11" s="166">
        <v>45592.060000000005</v>
      </c>
      <c r="AE11" s="12" t="s">
        <v>286</v>
      </c>
      <c r="AF11" s="166">
        <v>140268.12</v>
      </c>
    </row>
    <row r="12" spans="24:32" x14ac:dyDescent="0.35">
      <c r="X12" s="12" t="s">
        <v>594</v>
      </c>
      <c r="Y12" s="166">
        <v>8417.51</v>
      </c>
      <c r="AE12" s="12" t="s">
        <v>15</v>
      </c>
      <c r="AF12" s="166">
        <v>465028.22000000009</v>
      </c>
    </row>
    <row r="13" spans="24:32" x14ac:dyDescent="0.35">
      <c r="X13" s="12" t="s">
        <v>595</v>
      </c>
      <c r="Y13" s="166">
        <v>42683.039999999994</v>
      </c>
    </row>
    <row r="14" spans="24:32" x14ac:dyDescent="0.35">
      <c r="X14" s="12" t="s">
        <v>596</v>
      </c>
      <c r="Y14" s="166">
        <v>37935.56</v>
      </c>
    </row>
    <row r="15" spans="24:32" x14ac:dyDescent="0.35">
      <c r="X15" s="12" t="s">
        <v>597</v>
      </c>
      <c r="Y15" s="166">
        <v>19600.039999999997</v>
      </c>
    </row>
    <row r="16" spans="24:32" x14ac:dyDescent="0.35">
      <c r="X16" s="12" t="s">
        <v>598</v>
      </c>
      <c r="Y16" s="166">
        <v>17005.5</v>
      </c>
    </row>
    <row r="17" spans="24:32" x14ac:dyDescent="0.35">
      <c r="X17" s="12" t="s">
        <v>599</v>
      </c>
      <c r="Y17" s="166">
        <v>46822.04</v>
      </c>
    </row>
    <row r="18" spans="24:32" x14ac:dyDescent="0.35">
      <c r="X18" s="12" t="s">
        <v>600</v>
      </c>
      <c r="Y18" s="166">
        <v>36769.22</v>
      </c>
      <c r="AE18" s="8" t="s">
        <v>20</v>
      </c>
      <c r="AF18" t="s">
        <v>603</v>
      </c>
    </row>
    <row r="19" spans="24:32" x14ac:dyDescent="0.35">
      <c r="X19" s="12" t="s">
        <v>601</v>
      </c>
      <c r="Y19" s="166">
        <v>71326.75</v>
      </c>
      <c r="AE19" s="12" t="s">
        <v>584</v>
      </c>
      <c r="AF19" s="166">
        <v>136555.76000000004</v>
      </c>
    </row>
    <row r="20" spans="24:32" x14ac:dyDescent="0.35">
      <c r="X20" s="12" t="s">
        <v>602</v>
      </c>
      <c r="Y20" s="166">
        <v>35586.400000000001</v>
      </c>
      <c r="AE20" s="12" t="s">
        <v>575</v>
      </c>
      <c r="AF20" s="166">
        <v>122850.72999999998</v>
      </c>
    </row>
    <row r="21" spans="24:32" x14ac:dyDescent="0.35">
      <c r="X21" s="12" t="s">
        <v>15</v>
      </c>
      <c r="Y21" s="166">
        <v>465028.22000000009</v>
      </c>
      <c r="AE21" s="12" t="s">
        <v>580</v>
      </c>
      <c r="AF21" s="166">
        <v>97543.449999999983</v>
      </c>
    </row>
    <row r="22" spans="24:32" x14ac:dyDescent="0.35">
      <c r="AE22" s="12" t="s">
        <v>435</v>
      </c>
      <c r="AF22" s="166">
        <v>108078.27999999998</v>
      </c>
    </row>
    <row r="23" spans="24:32" x14ac:dyDescent="0.35">
      <c r="AE23" s="12" t="s">
        <v>15</v>
      </c>
      <c r="AF23" s="166">
        <v>465028.22</v>
      </c>
    </row>
    <row r="28" spans="24:32" x14ac:dyDescent="0.35">
      <c r="AB28" s="8" t="s">
        <v>20</v>
      </c>
      <c r="AC28" t="s">
        <v>603</v>
      </c>
    </row>
    <row r="29" spans="24:32" x14ac:dyDescent="0.35">
      <c r="AB29" s="12" t="s">
        <v>582</v>
      </c>
      <c r="AC29" s="166">
        <v>128353.59</v>
      </c>
    </row>
    <row r="30" spans="24:32" x14ac:dyDescent="0.35">
      <c r="AB30" s="12" t="s">
        <v>302</v>
      </c>
      <c r="AC30" s="166">
        <v>82097.489999999991</v>
      </c>
    </row>
    <row r="31" spans="24:32" x14ac:dyDescent="0.35">
      <c r="AB31" s="12" t="s">
        <v>11</v>
      </c>
      <c r="AC31" s="166">
        <v>125832.24999999999</v>
      </c>
    </row>
    <row r="32" spans="24:32" x14ac:dyDescent="0.35">
      <c r="AB32" s="12" t="s">
        <v>576</v>
      </c>
      <c r="AC32" s="166">
        <v>128744.89000000001</v>
      </c>
    </row>
    <row r="33" spans="28:29" x14ac:dyDescent="0.35">
      <c r="AB33" s="12" t="s">
        <v>15</v>
      </c>
      <c r="AC33" s="166">
        <v>465028.22</v>
      </c>
    </row>
  </sheetData>
  <pageMargins left="0.7" right="0.7" top="0.75" bottom="0.75" header="0.3" footer="0.3"/>
  <drawing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376B3-3027-4AF7-B4C8-466DF963F4CD}">
  <dimension ref="A3:B6"/>
  <sheetViews>
    <sheetView workbookViewId="0">
      <selection activeCell="A5" sqref="A5"/>
    </sheetView>
  </sheetViews>
  <sheetFormatPr defaultRowHeight="14.5" x14ac:dyDescent="0.35"/>
  <cols>
    <col min="1" max="1" width="12.36328125" bestFit="1" customWidth="1"/>
    <col min="2" max="2" width="18.7265625" bestFit="1" customWidth="1"/>
  </cols>
  <sheetData>
    <row r="3" spans="1:2" x14ac:dyDescent="0.35">
      <c r="A3" s="8" t="s">
        <v>20</v>
      </c>
      <c r="B3" t="s">
        <v>603</v>
      </c>
    </row>
    <row r="4" spans="1:2" x14ac:dyDescent="0.35">
      <c r="A4" s="12" t="s">
        <v>577</v>
      </c>
      <c r="B4" s="166">
        <v>226359.01000000004</v>
      </c>
    </row>
    <row r="5" spans="1:2" x14ac:dyDescent="0.35">
      <c r="A5" s="12" t="s">
        <v>578</v>
      </c>
      <c r="B5" s="166">
        <v>238669.21000000008</v>
      </c>
    </row>
    <row r="6" spans="1:2" x14ac:dyDescent="0.35">
      <c r="A6" s="12" t="s">
        <v>15</v>
      </c>
      <c r="B6" s="166">
        <v>465028.22000000009</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B73E-08CA-4E70-92DA-4C1873F18A6F}">
  <dimension ref="A4:O104"/>
  <sheetViews>
    <sheetView topLeftCell="A5" workbookViewId="0">
      <selection activeCell="F7" sqref="F7"/>
    </sheetView>
  </sheetViews>
  <sheetFormatPr defaultRowHeight="14.5" x14ac:dyDescent="0.35"/>
  <cols>
    <col min="1" max="1" width="10.26953125" bestFit="1" customWidth="1"/>
    <col min="2" max="2" width="10.08984375" bestFit="1" customWidth="1"/>
    <col min="3" max="3" width="10.90625" bestFit="1" customWidth="1"/>
    <col min="5" max="5" width="14.453125" bestFit="1" customWidth="1"/>
    <col min="6" max="6" width="10.26953125" bestFit="1" customWidth="1"/>
    <col min="7" max="7" width="10.453125" bestFit="1" customWidth="1"/>
    <col min="8" max="8" width="11.54296875" bestFit="1" customWidth="1"/>
    <col min="9" max="9" width="10.36328125" bestFit="1" customWidth="1"/>
    <col min="10" max="10" width="17.54296875" bestFit="1" customWidth="1"/>
    <col min="12" max="12" width="6.81640625" bestFit="1" customWidth="1"/>
    <col min="13" max="13" width="14" bestFit="1" customWidth="1"/>
    <col min="14" max="14" width="12.6328125" customWidth="1"/>
    <col min="15" max="15" width="14.54296875" bestFit="1" customWidth="1"/>
  </cols>
  <sheetData>
    <row r="4" spans="1:15" s="177" customFormat="1" x14ac:dyDescent="0.35">
      <c r="A4" s="177" t="s">
        <v>572</v>
      </c>
      <c r="B4" s="177" t="s">
        <v>3</v>
      </c>
      <c r="C4" s="177" t="s">
        <v>590</v>
      </c>
      <c r="D4" s="177" t="s">
        <v>174</v>
      </c>
      <c r="E4" s="177" t="s">
        <v>587</v>
      </c>
      <c r="F4" s="177" t="s">
        <v>370</v>
      </c>
      <c r="G4" s="177" t="s">
        <v>281</v>
      </c>
      <c r="H4" s="177" t="s">
        <v>573</v>
      </c>
      <c r="I4" s="178" t="s">
        <v>102</v>
      </c>
      <c r="J4" s="177" t="s">
        <v>280</v>
      </c>
      <c r="K4" s="179" t="s">
        <v>130</v>
      </c>
      <c r="L4" s="179" t="s">
        <v>131</v>
      </c>
      <c r="M4" s="180" t="s">
        <v>589</v>
      </c>
      <c r="N4" s="181" t="s">
        <v>550</v>
      </c>
      <c r="O4" s="177" t="s">
        <v>588</v>
      </c>
    </row>
    <row r="5" spans="1:15" x14ac:dyDescent="0.35">
      <c r="A5" s="168">
        <v>1052</v>
      </c>
      <c r="B5" s="169">
        <v>44960</v>
      </c>
      <c r="C5" s="170" t="s">
        <v>574</v>
      </c>
      <c r="D5" s="170" t="s">
        <v>575</v>
      </c>
      <c r="E5" s="168">
        <v>5053.97</v>
      </c>
      <c r="F5" s="168">
        <v>18</v>
      </c>
      <c r="G5" s="170" t="s">
        <v>576</v>
      </c>
      <c r="H5" s="168">
        <v>267.22000000000003</v>
      </c>
      <c r="I5" s="171">
        <v>0.09</v>
      </c>
      <c r="J5" s="170" t="s">
        <v>289</v>
      </c>
      <c r="K5" s="170" t="str">
        <f>TEXT(B5,"mmm")</f>
        <v>Feb</v>
      </c>
      <c r="L5" s="170">
        <f>YEAR(B5)</f>
        <v>2023</v>
      </c>
      <c r="M5" s="172">
        <v>0.25</v>
      </c>
      <c r="N5" s="173">
        <f>E5*25%</f>
        <v>1263.4925000000001</v>
      </c>
      <c r="O5" s="170" t="s">
        <v>577</v>
      </c>
    </row>
    <row r="6" spans="1:15" x14ac:dyDescent="0.35">
      <c r="A6" s="174">
        <v>1093</v>
      </c>
      <c r="B6" s="175">
        <v>45037</v>
      </c>
      <c r="C6" s="167" t="s">
        <v>574</v>
      </c>
      <c r="D6" s="167" t="s">
        <v>435</v>
      </c>
      <c r="E6" s="174">
        <v>4384.0200000000004</v>
      </c>
      <c r="F6" s="174">
        <v>17</v>
      </c>
      <c r="G6" s="167" t="s">
        <v>576</v>
      </c>
      <c r="H6" s="174">
        <v>4209.4399999999996</v>
      </c>
      <c r="I6" s="176">
        <v>0.11</v>
      </c>
      <c r="J6" s="167" t="s">
        <v>289</v>
      </c>
      <c r="K6" s="170" t="str">
        <f t="shared" ref="K6:K69" si="0">TEXT(B6,"mmm")</f>
        <v>Apr</v>
      </c>
      <c r="L6" s="170">
        <f t="shared" ref="L6:L69" si="1">YEAR(B6)</f>
        <v>2023</v>
      </c>
      <c r="M6" s="172">
        <v>0.25</v>
      </c>
      <c r="N6" s="173">
        <f t="shared" ref="N6:N69" si="2">E6*25%</f>
        <v>1096.0050000000001</v>
      </c>
      <c r="O6" s="167" t="s">
        <v>578</v>
      </c>
    </row>
    <row r="7" spans="1:15" x14ac:dyDescent="0.35">
      <c r="A7" s="168">
        <v>1015</v>
      </c>
      <c r="B7" s="169">
        <v>45190</v>
      </c>
      <c r="C7" s="170" t="s">
        <v>579</v>
      </c>
      <c r="D7" s="170" t="s">
        <v>580</v>
      </c>
      <c r="E7" s="168">
        <v>4631.2299999999996</v>
      </c>
      <c r="F7" s="168">
        <v>30</v>
      </c>
      <c r="G7" s="170" t="s">
        <v>11</v>
      </c>
      <c r="H7" s="168">
        <v>371.4</v>
      </c>
      <c r="I7" s="171">
        <v>0.2</v>
      </c>
      <c r="J7" s="170" t="s">
        <v>581</v>
      </c>
      <c r="K7" s="170" t="str">
        <f t="shared" si="0"/>
        <v>Sep</v>
      </c>
      <c r="L7" s="170">
        <f t="shared" si="1"/>
        <v>2023</v>
      </c>
      <c r="M7" s="172">
        <v>0.25</v>
      </c>
      <c r="N7" s="173">
        <f t="shared" si="2"/>
        <v>1157.8074999999999</v>
      </c>
      <c r="O7" s="170" t="s">
        <v>578</v>
      </c>
    </row>
    <row r="8" spans="1:15" x14ac:dyDescent="0.35">
      <c r="A8" s="174">
        <v>1072</v>
      </c>
      <c r="B8" s="175">
        <v>45162</v>
      </c>
      <c r="C8" s="167" t="s">
        <v>574</v>
      </c>
      <c r="D8" s="167" t="s">
        <v>580</v>
      </c>
      <c r="E8" s="174">
        <v>2167.94</v>
      </c>
      <c r="F8" s="174">
        <v>39</v>
      </c>
      <c r="G8" s="167" t="s">
        <v>582</v>
      </c>
      <c r="H8" s="174">
        <v>4467.75</v>
      </c>
      <c r="I8" s="176">
        <v>0.02</v>
      </c>
      <c r="J8" s="167" t="s">
        <v>286</v>
      </c>
      <c r="K8" s="170" t="str">
        <f t="shared" si="0"/>
        <v>Aug</v>
      </c>
      <c r="L8" s="170">
        <f t="shared" si="1"/>
        <v>2023</v>
      </c>
      <c r="M8" s="172">
        <v>0.25</v>
      </c>
      <c r="N8" s="173">
        <f t="shared" si="2"/>
        <v>541.98500000000001</v>
      </c>
      <c r="O8" s="167" t="s">
        <v>578</v>
      </c>
    </row>
    <row r="9" spans="1:15" x14ac:dyDescent="0.35">
      <c r="A9" s="168">
        <v>1061</v>
      </c>
      <c r="B9" s="169">
        <v>45009</v>
      </c>
      <c r="C9" s="170" t="s">
        <v>583</v>
      </c>
      <c r="D9" s="170" t="s">
        <v>584</v>
      </c>
      <c r="E9" s="168">
        <v>3750.2</v>
      </c>
      <c r="F9" s="168">
        <v>13</v>
      </c>
      <c r="G9" s="170" t="s">
        <v>302</v>
      </c>
      <c r="H9" s="168">
        <v>692.71</v>
      </c>
      <c r="I9" s="171">
        <v>0.08</v>
      </c>
      <c r="J9" s="170" t="s">
        <v>286</v>
      </c>
      <c r="K9" s="170" t="str">
        <f t="shared" si="0"/>
        <v>Mar</v>
      </c>
      <c r="L9" s="170">
        <f t="shared" si="1"/>
        <v>2023</v>
      </c>
      <c r="M9" s="172">
        <v>0.25</v>
      </c>
      <c r="N9" s="173">
        <f t="shared" si="2"/>
        <v>937.55</v>
      </c>
      <c r="O9" s="170" t="s">
        <v>577</v>
      </c>
    </row>
    <row r="10" spans="1:15" x14ac:dyDescent="0.35">
      <c r="A10" s="174">
        <v>1021</v>
      </c>
      <c r="B10" s="175">
        <v>44968</v>
      </c>
      <c r="C10" s="167" t="s">
        <v>583</v>
      </c>
      <c r="D10" s="167" t="s">
        <v>435</v>
      </c>
      <c r="E10" s="174">
        <v>3761.15</v>
      </c>
      <c r="F10" s="174">
        <v>32</v>
      </c>
      <c r="G10" s="167" t="s">
        <v>11</v>
      </c>
      <c r="H10" s="174">
        <v>1106.51</v>
      </c>
      <c r="I10" s="176">
        <v>0.21</v>
      </c>
      <c r="J10" s="167" t="s">
        <v>289</v>
      </c>
      <c r="K10" s="170" t="str">
        <f t="shared" si="0"/>
        <v>Feb</v>
      </c>
      <c r="L10" s="170">
        <f t="shared" si="1"/>
        <v>2023</v>
      </c>
      <c r="M10" s="172">
        <v>0.25</v>
      </c>
      <c r="N10" s="173">
        <f t="shared" si="2"/>
        <v>940.28750000000002</v>
      </c>
      <c r="O10" s="167" t="s">
        <v>577</v>
      </c>
    </row>
    <row r="11" spans="1:15" x14ac:dyDescent="0.35">
      <c r="A11" s="168">
        <v>1083</v>
      </c>
      <c r="B11" s="169">
        <v>45027</v>
      </c>
      <c r="C11" s="170" t="s">
        <v>574</v>
      </c>
      <c r="D11" s="170" t="s">
        <v>435</v>
      </c>
      <c r="E11" s="168">
        <v>618.30999999999995</v>
      </c>
      <c r="F11" s="168">
        <v>29</v>
      </c>
      <c r="G11" s="170" t="s">
        <v>576</v>
      </c>
      <c r="H11" s="168">
        <v>2624.09</v>
      </c>
      <c r="I11" s="171">
        <v>0.14000000000000001</v>
      </c>
      <c r="J11" s="170" t="s">
        <v>289</v>
      </c>
      <c r="K11" s="170" t="str">
        <f t="shared" si="0"/>
        <v>Apr</v>
      </c>
      <c r="L11" s="170">
        <f t="shared" si="1"/>
        <v>2023</v>
      </c>
      <c r="M11" s="172">
        <v>0.25</v>
      </c>
      <c r="N11" s="173">
        <f t="shared" si="2"/>
        <v>154.57749999999999</v>
      </c>
      <c r="O11" s="170" t="s">
        <v>577</v>
      </c>
    </row>
    <row r="12" spans="1:15" x14ac:dyDescent="0.35">
      <c r="A12" s="174">
        <v>1087</v>
      </c>
      <c r="B12" s="175">
        <v>44932</v>
      </c>
      <c r="C12" s="167" t="s">
        <v>585</v>
      </c>
      <c r="D12" s="167" t="s">
        <v>580</v>
      </c>
      <c r="E12" s="174">
        <v>7698.92</v>
      </c>
      <c r="F12" s="174">
        <v>46</v>
      </c>
      <c r="G12" s="167" t="s">
        <v>576</v>
      </c>
      <c r="H12" s="174">
        <v>3964.65</v>
      </c>
      <c r="I12" s="176">
        <v>0.12</v>
      </c>
      <c r="J12" s="167" t="s">
        <v>581</v>
      </c>
      <c r="K12" s="170" t="str">
        <f t="shared" si="0"/>
        <v>Jan</v>
      </c>
      <c r="L12" s="170">
        <f t="shared" si="1"/>
        <v>2023</v>
      </c>
      <c r="M12" s="172">
        <v>0.25</v>
      </c>
      <c r="N12" s="173">
        <f t="shared" si="2"/>
        <v>1924.73</v>
      </c>
      <c r="O12" s="167" t="s">
        <v>577</v>
      </c>
    </row>
    <row r="13" spans="1:15" x14ac:dyDescent="0.35">
      <c r="A13" s="168">
        <v>1075</v>
      </c>
      <c r="B13" s="169">
        <v>45106</v>
      </c>
      <c r="C13" s="170" t="s">
        <v>579</v>
      </c>
      <c r="D13" s="170" t="s">
        <v>580</v>
      </c>
      <c r="E13" s="168">
        <v>4223.3900000000003</v>
      </c>
      <c r="F13" s="168">
        <v>30</v>
      </c>
      <c r="G13" s="170" t="s">
        <v>576</v>
      </c>
      <c r="H13" s="168">
        <v>1095.4499999999998</v>
      </c>
      <c r="I13" s="171">
        <v>0.05</v>
      </c>
      <c r="J13" s="170" t="s">
        <v>581</v>
      </c>
      <c r="K13" s="170" t="str">
        <f t="shared" si="0"/>
        <v>Jun</v>
      </c>
      <c r="L13" s="170">
        <f t="shared" si="1"/>
        <v>2023</v>
      </c>
      <c r="M13" s="172">
        <v>0.25</v>
      </c>
      <c r="N13" s="173">
        <f t="shared" si="2"/>
        <v>1055.8475000000001</v>
      </c>
      <c r="O13" s="170" t="s">
        <v>577</v>
      </c>
    </row>
    <row r="14" spans="1:15" x14ac:dyDescent="0.35">
      <c r="A14" s="174">
        <v>1088</v>
      </c>
      <c r="B14" s="175">
        <v>45246</v>
      </c>
      <c r="C14" s="167" t="s">
        <v>585</v>
      </c>
      <c r="D14" s="167" t="s">
        <v>575</v>
      </c>
      <c r="E14" s="174">
        <v>8518.4500000000007</v>
      </c>
      <c r="F14" s="174">
        <v>13</v>
      </c>
      <c r="G14" s="167" t="s">
        <v>576</v>
      </c>
      <c r="H14" s="174">
        <v>2517.6</v>
      </c>
      <c r="I14" s="176">
        <v>0.23</v>
      </c>
      <c r="J14" s="167" t="s">
        <v>581</v>
      </c>
      <c r="K14" s="170" t="str">
        <f t="shared" si="0"/>
        <v>Nov</v>
      </c>
      <c r="L14" s="170">
        <f t="shared" si="1"/>
        <v>2023</v>
      </c>
      <c r="M14" s="172">
        <v>0.25</v>
      </c>
      <c r="N14" s="173">
        <f t="shared" si="2"/>
        <v>2129.6125000000002</v>
      </c>
      <c r="O14" s="167" t="s">
        <v>578</v>
      </c>
    </row>
    <row r="15" spans="1:15" x14ac:dyDescent="0.35">
      <c r="A15" s="168">
        <v>1100</v>
      </c>
      <c r="B15" s="169">
        <v>45152</v>
      </c>
      <c r="C15" s="170" t="s">
        <v>574</v>
      </c>
      <c r="D15" s="170" t="s">
        <v>435</v>
      </c>
      <c r="E15" s="168">
        <v>2198.7399999999998</v>
      </c>
      <c r="F15" s="168">
        <v>43</v>
      </c>
      <c r="G15" s="170" t="s">
        <v>11</v>
      </c>
      <c r="H15" s="168">
        <v>1137.44</v>
      </c>
      <c r="I15" s="171">
        <v>0.08</v>
      </c>
      <c r="J15" s="170" t="s">
        <v>581</v>
      </c>
      <c r="K15" s="170" t="str">
        <f t="shared" si="0"/>
        <v>Aug</v>
      </c>
      <c r="L15" s="170">
        <f>YEAR(B15)</f>
        <v>2023</v>
      </c>
      <c r="M15" s="172">
        <v>0.25</v>
      </c>
      <c r="N15" s="173">
        <f t="shared" si="2"/>
        <v>549.68499999999995</v>
      </c>
      <c r="O15" s="170" t="s">
        <v>577</v>
      </c>
    </row>
    <row r="16" spans="1:15" x14ac:dyDescent="0.35">
      <c r="A16" s="174">
        <v>1024</v>
      </c>
      <c r="B16" s="175">
        <v>45241</v>
      </c>
      <c r="C16" s="167" t="s">
        <v>585</v>
      </c>
      <c r="D16" s="167" t="s">
        <v>435</v>
      </c>
      <c r="E16" s="174">
        <v>6607.8</v>
      </c>
      <c r="F16" s="174">
        <v>21</v>
      </c>
      <c r="G16" s="167" t="s">
        <v>11</v>
      </c>
      <c r="H16" s="174">
        <v>641.09</v>
      </c>
      <c r="I16" s="176">
        <v>0</v>
      </c>
      <c r="J16" s="167" t="s">
        <v>581</v>
      </c>
      <c r="K16" s="170" t="str">
        <f t="shared" si="0"/>
        <v>Nov</v>
      </c>
      <c r="L16" s="170">
        <f t="shared" si="1"/>
        <v>2023</v>
      </c>
      <c r="M16" s="172">
        <v>0.25</v>
      </c>
      <c r="N16" s="173">
        <f t="shared" si="2"/>
        <v>1651.95</v>
      </c>
      <c r="O16" s="167" t="s">
        <v>578</v>
      </c>
    </row>
    <row r="17" spans="1:15" x14ac:dyDescent="0.35">
      <c r="A17" s="168">
        <v>1003</v>
      </c>
      <c r="B17" s="169">
        <v>45291</v>
      </c>
      <c r="C17" s="170" t="s">
        <v>586</v>
      </c>
      <c r="D17" s="170" t="s">
        <v>580</v>
      </c>
      <c r="E17" s="168">
        <v>4775.59</v>
      </c>
      <c r="F17" s="168">
        <v>30</v>
      </c>
      <c r="G17" s="170" t="s">
        <v>576</v>
      </c>
      <c r="H17" s="168">
        <v>4270.6499999999996</v>
      </c>
      <c r="I17" s="171">
        <v>0.2</v>
      </c>
      <c r="J17" s="170" t="s">
        <v>289</v>
      </c>
      <c r="K17" s="170" t="str">
        <f t="shared" si="0"/>
        <v>Dec</v>
      </c>
      <c r="L17" s="170">
        <f>YEAR(B17)</f>
        <v>2023</v>
      </c>
      <c r="M17" s="172">
        <v>0.25</v>
      </c>
      <c r="N17" s="173">
        <f t="shared" si="2"/>
        <v>1193.8975</v>
      </c>
      <c r="O17" s="170" t="s">
        <v>577</v>
      </c>
    </row>
    <row r="18" spans="1:15" x14ac:dyDescent="0.35">
      <c r="A18" s="174">
        <v>1022</v>
      </c>
      <c r="B18" s="175">
        <v>45155</v>
      </c>
      <c r="C18" s="167" t="s">
        <v>583</v>
      </c>
      <c r="D18" s="167" t="s">
        <v>580</v>
      </c>
      <c r="E18" s="174">
        <v>8813.5499999999993</v>
      </c>
      <c r="F18" s="174">
        <v>21</v>
      </c>
      <c r="G18" s="167" t="s">
        <v>11</v>
      </c>
      <c r="H18" s="174">
        <v>2869.6</v>
      </c>
      <c r="I18" s="176">
        <v>0.28999999999999998</v>
      </c>
      <c r="J18" s="167" t="s">
        <v>581</v>
      </c>
      <c r="K18" s="170" t="str">
        <f t="shared" si="0"/>
        <v>Aug</v>
      </c>
      <c r="L18" s="170">
        <f t="shared" si="1"/>
        <v>2023</v>
      </c>
      <c r="M18" s="172">
        <v>0.25</v>
      </c>
      <c r="N18" s="173">
        <f t="shared" si="2"/>
        <v>2203.3874999999998</v>
      </c>
      <c r="O18" s="167" t="s">
        <v>578</v>
      </c>
    </row>
    <row r="19" spans="1:15" x14ac:dyDescent="0.35">
      <c r="A19" s="168">
        <v>1053</v>
      </c>
      <c r="B19" s="169">
        <v>45215</v>
      </c>
      <c r="C19" s="170" t="s">
        <v>574</v>
      </c>
      <c r="D19" s="170" t="s">
        <v>575</v>
      </c>
      <c r="E19" s="168">
        <v>2235.83</v>
      </c>
      <c r="F19" s="168">
        <v>48</v>
      </c>
      <c r="G19" s="170" t="s">
        <v>576</v>
      </c>
      <c r="H19" s="168">
        <v>487.65</v>
      </c>
      <c r="I19" s="171">
        <v>0.18</v>
      </c>
      <c r="J19" s="170" t="s">
        <v>289</v>
      </c>
      <c r="K19" s="170" t="str">
        <f t="shared" si="0"/>
        <v>Oct</v>
      </c>
      <c r="L19" s="170">
        <f t="shared" si="1"/>
        <v>2023</v>
      </c>
      <c r="M19" s="172">
        <v>0.25</v>
      </c>
      <c r="N19" s="173">
        <f t="shared" si="2"/>
        <v>558.95749999999998</v>
      </c>
      <c r="O19" s="170" t="s">
        <v>578</v>
      </c>
    </row>
    <row r="20" spans="1:15" x14ac:dyDescent="0.35">
      <c r="A20" s="174">
        <v>1002</v>
      </c>
      <c r="B20" s="175">
        <v>45076</v>
      </c>
      <c r="C20" s="167" t="s">
        <v>579</v>
      </c>
      <c r="D20" s="167" t="s">
        <v>575</v>
      </c>
      <c r="E20" s="174">
        <v>6810.35</v>
      </c>
      <c r="F20" s="174">
        <v>17</v>
      </c>
      <c r="G20" s="167" t="s">
        <v>576</v>
      </c>
      <c r="H20" s="174">
        <v>4420.1500000000015</v>
      </c>
      <c r="I20" s="176">
        <v>0.04</v>
      </c>
      <c r="J20" s="167" t="s">
        <v>289</v>
      </c>
      <c r="K20" s="170" t="str">
        <f t="shared" si="0"/>
        <v>May</v>
      </c>
      <c r="L20" s="170">
        <f t="shared" si="1"/>
        <v>2023</v>
      </c>
      <c r="M20" s="172">
        <v>0.25</v>
      </c>
      <c r="N20" s="173">
        <f t="shared" si="2"/>
        <v>1702.5875000000001</v>
      </c>
      <c r="O20" s="167" t="s">
        <v>577</v>
      </c>
    </row>
    <row r="21" spans="1:15" x14ac:dyDescent="0.35">
      <c r="A21" s="168">
        <v>1030</v>
      </c>
      <c r="B21" s="169">
        <v>45124</v>
      </c>
      <c r="C21" s="170" t="s">
        <v>579</v>
      </c>
      <c r="D21" s="170" t="s">
        <v>435</v>
      </c>
      <c r="E21" s="168">
        <v>3023.48</v>
      </c>
      <c r="F21" s="168">
        <v>19</v>
      </c>
      <c r="G21" s="170" t="s">
        <v>582</v>
      </c>
      <c r="H21" s="168">
        <v>3209.22</v>
      </c>
      <c r="I21" s="171">
        <v>0.26</v>
      </c>
      <c r="J21" s="170" t="s">
        <v>289</v>
      </c>
      <c r="K21" s="170" t="str">
        <f t="shared" si="0"/>
        <v>Jul</v>
      </c>
      <c r="L21" s="170">
        <f t="shared" si="1"/>
        <v>2023</v>
      </c>
      <c r="M21" s="172">
        <v>0.25</v>
      </c>
      <c r="N21" s="173">
        <f t="shared" si="2"/>
        <v>755.87</v>
      </c>
      <c r="O21" s="170" t="s">
        <v>577</v>
      </c>
    </row>
    <row r="22" spans="1:15" x14ac:dyDescent="0.35">
      <c r="A22" s="174">
        <v>1038</v>
      </c>
      <c r="B22" s="175">
        <v>44996</v>
      </c>
      <c r="C22" s="167" t="s">
        <v>574</v>
      </c>
      <c r="D22" s="167" t="s">
        <v>580</v>
      </c>
      <c r="E22" s="174">
        <v>1452.35</v>
      </c>
      <c r="F22" s="174">
        <v>15</v>
      </c>
      <c r="G22" s="167" t="s">
        <v>582</v>
      </c>
      <c r="H22" s="174">
        <v>2790.1000000000004</v>
      </c>
      <c r="I22" s="176">
        <v>7.0000000000000007E-2</v>
      </c>
      <c r="J22" s="167" t="s">
        <v>289</v>
      </c>
      <c r="K22" s="170" t="str">
        <f t="shared" si="0"/>
        <v>Mar</v>
      </c>
      <c r="L22" s="170">
        <f t="shared" si="1"/>
        <v>2023</v>
      </c>
      <c r="M22" s="172">
        <v>0.25</v>
      </c>
      <c r="N22" s="173">
        <f t="shared" si="2"/>
        <v>363.08749999999998</v>
      </c>
      <c r="O22" s="167" t="s">
        <v>577</v>
      </c>
    </row>
    <row r="23" spans="1:15" x14ac:dyDescent="0.35">
      <c r="A23" s="168">
        <v>1064</v>
      </c>
      <c r="B23" s="169">
        <v>44930</v>
      </c>
      <c r="C23" s="170" t="s">
        <v>585</v>
      </c>
      <c r="D23" s="170" t="s">
        <v>584</v>
      </c>
      <c r="E23" s="168">
        <v>7412.11</v>
      </c>
      <c r="F23" s="168">
        <v>10</v>
      </c>
      <c r="G23" s="170" t="s">
        <v>302</v>
      </c>
      <c r="H23" s="168">
        <v>5074.42</v>
      </c>
      <c r="I23" s="171">
        <v>0.12</v>
      </c>
      <c r="J23" s="170" t="s">
        <v>289</v>
      </c>
      <c r="K23" s="170" t="str">
        <f t="shared" si="0"/>
        <v>Jan</v>
      </c>
      <c r="L23" s="170">
        <f t="shared" si="1"/>
        <v>2023</v>
      </c>
      <c r="M23" s="172">
        <v>0.25</v>
      </c>
      <c r="N23" s="173">
        <f t="shared" si="2"/>
        <v>1853.0274999999999</v>
      </c>
      <c r="O23" s="170" t="s">
        <v>577</v>
      </c>
    </row>
    <row r="24" spans="1:15" x14ac:dyDescent="0.35">
      <c r="A24" s="174">
        <v>1060</v>
      </c>
      <c r="B24" s="175">
        <v>45276</v>
      </c>
      <c r="C24" s="167" t="s">
        <v>585</v>
      </c>
      <c r="D24" s="167" t="s">
        <v>584</v>
      </c>
      <c r="E24" s="174">
        <v>3224.71</v>
      </c>
      <c r="F24" s="174">
        <v>44</v>
      </c>
      <c r="G24" s="167" t="s">
        <v>582</v>
      </c>
      <c r="H24" s="174">
        <v>4276.99</v>
      </c>
      <c r="I24" s="176">
        <v>0.06</v>
      </c>
      <c r="J24" s="167" t="s">
        <v>581</v>
      </c>
      <c r="K24" s="170" t="str">
        <f t="shared" si="0"/>
        <v>Dec</v>
      </c>
      <c r="L24" s="170">
        <f t="shared" si="1"/>
        <v>2023</v>
      </c>
      <c r="M24" s="172">
        <v>0.25</v>
      </c>
      <c r="N24" s="173">
        <f t="shared" si="2"/>
        <v>806.17750000000001</v>
      </c>
      <c r="O24" s="167" t="s">
        <v>578</v>
      </c>
    </row>
    <row r="25" spans="1:15" x14ac:dyDescent="0.35">
      <c r="A25" s="168">
        <v>1033</v>
      </c>
      <c r="B25" s="169">
        <v>45244</v>
      </c>
      <c r="C25" s="170" t="s">
        <v>579</v>
      </c>
      <c r="D25" s="170" t="s">
        <v>580</v>
      </c>
      <c r="E25" s="168">
        <v>4011.8</v>
      </c>
      <c r="F25" s="168">
        <v>23</v>
      </c>
      <c r="G25" s="170" t="s">
        <v>576</v>
      </c>
      <c r="H25" s="168">
        <v>3360.4</v>
      </c>
      <c r="I25" s="171">
        <v>0.22</v>
      </c>
      <c r="J25" s="170" t="s">
        <v>581</v>
      </c>
      <c r="K25" s="170" t="str">
        <f t="shared" si="0"/>
        <v>Nov</v>
      </c>
      <c r="L25" s="170">
        <f t="shared" si="1"/>
        <v>2023</v>
      </c>
      <c r="M25" s="172">
        <v>0.25</v>
      </c>
      <c r="N25" s="173">
        <f t="shared" si="2"/>
        <v>1002.95</v>
      </c>
      <c r="O25" s="170" t="s">
        <v>578</v>
      </c>
    </row>
    <row r="26" spans="1:15" x14ac:dyDescent="0.35">
      <c r="A26" s="174">
        <v>1076</v>
      </c>
      <c r="B26" s="175">
        <v>45276</v>
      </c>
      <c r="C26" s="167" t="s">
        <v>585</v>
      </c>
      <c r="D26" s="167" t="s">
        <v>584</v>
      </c>
      <c r="E26" s="174">
        <v>7160.75</v>
      </c>
      <c r="F26" s="174">
        <v>30</v>
      </c>
      <c r="G26" s="167" t="s">
        <v>582</v>
      </c>
      <c r="H26" s="174">
        <v>3774.65</v>
      </c>
      <c r="I26" s="176">
        <v>0.2</v>
      </c>
      <c r="J26" s="167" t="s">
        <v>286</v>
      </c>
      <c r="K26" s="170" t="str">
        <f t="shared" si="0"/>
        <v>Dec</v>
      </c>
      <c r="L26" s="170">
        <f t="shared" si="1"/>
        <v>2023</v>
      </c>
      <c r="M26" s="172">
        <v>0.25</v>
      </c>
      <c r="N26" s="173">
        <f t="shared" si="2"/>
        <v>1790.1875</v>
      </c>
      <c r="O26" s="167" t="s">
        <v>578</v>
      </c>
    </row>
    <row r="27" spans="1:15" x14ac:dyDescent="0.35">
      <c r="A27" s="168">
        <v>1058</v>
      </c>
      <c r="B27" s="169">
        <v>45021</v>
      </c>
      <c r="C27" s="170" t="s">
        <v>586</v>
      </c>
      <c r="D27" s="170" t="s">
        <v>575</v>
      </c>
      <c r="E27" s="168">
        <v>2072.23</v>
      </c>
      <c r="F27" s="168">
        <v>33</v>
      </c>
      <c r="G27" s="170" t="s">
        <v>576</v>
      </c>
      <c r="H27" s="168">
        <v>1084.28</v>
      </c>
      <c r="I27" s="171">
        <v>7.0000000000000007E-2</v>
      </c>
      <c r="J27" s="170" t="s">
        <v>581</v>
      </c>
      <c r="K27" s="170" t="str">
        <f t="shared" si="0"/>
        <v>Apr</v>
      </c>
      <c r="L27" s="170">
        <f>YEAR(B27)</f>
        <v>2023</v>
      </c>
      <c r="M27" s="172">
        <v>0.25</v>
      </c>
      <c r="N27" s="173">
        <f t="shared" si="2"/>
        <v>518.0575</v>
      </c>
      <c r="O27" s="170" t="s">
        <v>578</v>
      </c>
    </row>
    <row r="28" spans="1:15" x14ac:dyDescent="0.35">
      <c r="A28" s="174">
        <v>1089</v>
      </c>
      <c r="B28" s="175">
        <v>45237</v>
      </c>
      <c r="C28" s="167" t="s">
        <v>574</v>
      </c>
      <c r="D28" s="167" t="s">
        <v>435</v>
      </c>
      <c r="E28" s="174">
        <v>2945.36</v>
      </c>
      <c r="F28" s="174">
        <v>47</v>
      </c>
      <c r="G28" s="167" t="s">
        <v>576</v>
      </c>
      <c r="H28" s="174">
        <v>4314.5599999999995</v>
      </c>
      <c r="I28" s="176">
        <v>0.17</v>
      </c>
      <c r="J28" s="167" t="s">
        <v>581</v>
      </c>
      <c r="K28" s="170" t="str">
        <f t="shared" si="0"/>
        <v>Nov</v>
      </c>
      <c r="L28" s="170">
        <f t="shared" si="1"/>
        <v>2023</v>
      </c>
      <c r="M28" s="172">
        <v>0.25</v>
      </c>
      <c r="N28" s="173">
        <f t="shared" si="2"/>
        <v>736.34</v>
      </c>
      <c r="O28" s="167" t="s">
        <v>578</v>
      </c>
    </row>
    <row r="29" spans="1:15" x14ac:dyDescent="0.35">
      <c r="A29" s="168">
        <v>1049</v>
      </c>
      <c r="B29" s="169">
        <v>45063</v>
      </c>
      <c r="C29" s="170" t="s">
        <v>586</v>
      </c>
      <c r="D29" s="170" t="s">
        <v>435</v>
      </c>
      <c r="E29" s="168">
        <v>3741.08</v>
      </c>
      <c r="F29" s="168">
        <v>1</v>
      </c>
      <c r="G29" s="170" t="s">
        <v>576</v>
      </c>
      <c r="H29" s="168">
        <v>3317.75</v>
      </c>
      <c r="I29" s="171">
        <v>0.17</v>
      </c>
      <c r="J29" s="170" t="s">
        <v>581</v>
      </c>
      <c r="K29" s="170" t="str">
        <f t="shared" si="0"/>
        <v>May</v>
      </c>
      <c r="L29" s="170">
        <f t="shared" si="1"/>
        <v>2023</v>
      </c>
      <c r="M29" s="172">
        <v>0.25</v>
      </c>
      <c r="N29" s="173">
        <f t="shared" si="2"/>
        <v>935.27</v>
      </c>
      <c r="O29" s="170" t="s">
        <v>577</v>
      </c>
    </row>
    <row r="30" spans="1:15" x14ac:dyDescent="0.35">
      <c r="A30" s="174">
        <v>1091</v>
      </c>
      <c r="B30" s="175">
        <v>45173</v>
      </c>
      <c r="C30" s="167" t="s">
        <v>583</v>
      </c>
      <c r="D30" s="167" t="s">
        <v>580</v>
      </c>
      <c r="E30" s="174">
        <v>675.11</v>
      </c>
      <c r="F30" s="174">
        <v>44</v>
      </c>
      <c r="G30" s="167" t="s">
        <v>11</v>
      </c>
      <c r="H30" s="174">
        <v>2406.58</v>
      </c>
      <c r="I30" s="176">
        <v>0.06</v>
      </c>
      <c r="J30" s="167" t="s">
        <v>581</v>
      </c>
      <c r="K30" s="170" t="str">
        <f t="shared" si="0"/>
        <v>Sep</v>
      </c>
      <c r="L30" s="170">
        <f t="shared" si="1"/>
        <v>2023</v>
      </c>
      <c r="M30" s="172">
        <v>0.25</v>
      </c>
      <c r="N30" s="173">
        <f t="shared" si="2"/>
        <v>168.7775</v>
      </c>
      <c r="O30" s="167" t="s">
        <v>578</v>
      </c>
    </row>
    <row r="31" spans="1:15" x14ac:dyDescent="0.35">
      <c r="A31" s="168">
        <v>1059</v>
      </c>
      <c r="B31" s="169">
        <v>45169</v>
      </c>
      <c r="C31" s="170" t="s">
        <v>586</v>
      </c>
      <c r="D31" s="170" t="s">
        <v>575</v>
      </c>
      <c r="E31" s="168">
        <v>1203.97</v>
      </c>
      <c r="F31" s="168">
        <v>35</v>
      </c>
      <c r="G31" s="170" t="s">
        <v>11</v>
      </c>
      <c r="H31" s="168">
        <v>3764.52</v>
      </c>
      <c r="I31" s="171">
        <v>0.02</v>
      </c>
      <c r="J31" s="170" t="s">
        <v>286</v>
      </c>
      <c r="K31" s="170" t="str">
        <f t="shared" si="0"/>
        <v>Aug</v>
      </c>
      <c r="L31" s="170">
        <f t="shared" si="1"/>
        <v>2023</v>
      </c>
      <c r="M31" s="172">
        <v>0.25</v>
      </c>
      <c r="N31" s="173">
        <f t="shared" si="2"/>
        <v>300.99250000000001</v>
      </c>
      <c r="O31" s="170" t="s">
        <v>577</v>
      </c>
    </row>
    <row r="32" spans="1:15" x14ac:dyDescent="0.35">
      <c r="A32" s="174">
        <v>1042</v>
      </c>
      <c r="B32" s="175">
        <v>44957</v>
      </c>
      <c r="C32" s="167" t="s">
        <v>586</v>
      </c>
      <c r="D32" s="167" t="s">
        <v>575</v>
      </c>
      <c r="E32" s="174">
        <v>5207.03</v>
      </c>
      <c r="F32" s="174">
        <v>11</v>
      </c>
      <c r="G32" s="167" t="s">
        <v>11</v>
      </c>
      <c r="H32" s="174">
        <v>814.1400000000001</v>
      </c>
      <c r="I32" s="176">
        <v>0.02</v>
      </c>
      <c r="J32" s="167" t="s">
        <v>289</v>
      </c>
      <c r="K32" s="170" t="str">
        <f t="shared" si="0"/>
        <v>Jan</v>
      </c>
      <c r="L32" s="170">
        <f t="shared" si="1"/>
        <v>2023</v>
      </c>
      <c r="M32" s="172">
        <v>0.25</v>
      </c>
      <c r="N32" s="173">
        <f t="shared" si="2"/>
        <v>1301.7574999999999</v>
      </c>
      <c r="O32" s="167" t="s">
        <v>577</v>
      </c>
    </row>
    <row r="33" spans="1:15" x14ac:dyDescent="0.35">
      <c r="A33" s="168">
        <v>1092</v>
      </c>
      <c r="B33" s="169">
        <v>44966</v>
      </c>
      <c r="C33" s="170" t="s">
        <v>579</v>
      </c>
      <c r="D33" s="170" t="s">
        <v>435</v>
      </c>
      <c r="E33" s="168">
        <v>2749.17</v>
      </c>
      <c r="F33" s="168">
        <v>34</v>
      </c>
      <c r="G33" s="170" t="s">
        <v>576</v>
      </c>
      <c r="H33" s="168">
        <v>2238.65</v>
      </c>
      <c r="I33" s="171">
        <v>0.3</v>
      </c>
      <c r="J33" s="170" t="s">
        <v>286</v>
      </c>
      <c r="K33" s="170" t="str">
        <f t="shared" si="0"/>
        <v>Feb</v>
      </c>
      <c r="L33" s="170">
        <f t="shared" si="1"/>
        <v>2023</v>
      </c>
      <c r="M33" s="172">
        <v>0.25</v>
      </c>
      <c r="N33" s="173">
        <f t="shared" si="2"/>
        <v>687.29250000000002</v>
      </c>
      <c r="O33" s="170" t="s">
        <v>577</v>
      </c>
    </row>
    <row r="34" spans="1:15" x14ac:dyDescent="0.35">
      <c r="A34" s="174">
        <v>1080</v>
      </c>
      <c r="B34" s="175">
        <v>44962</v>
      </c>
      <c r="C34" s="167" t="s">
        <v>583</v>
      </c>
      <c r="D34" s="167" t="s">
        <v>580</v>
      </c>
      <c r="E34" s="174">
        <v>245.46</v>
      </c>
      <c r="F34" s="174">
        <v>9</v>
      </c>
      <c r="G34" s="167" t="s">
        <v>302</v>
      </c>
      <c r="H34" s="174">
        <v>1550.19</v>
      </c>
      <c r="I34" s="176">
        <v>0.28000000000000003</v>
      </c>
      <c r="J34" s="167" t="s">
        <v>286</v>
      </c>
      <c r="K34" s="170" t="str">
        <f t="shared" si="0"/>
        <v>Feb</v>
      </c>
      <c r="L34" s="170">
        <f t="shared" si="1"/>
        <v>2023</v>
      </c>
      <c r="M34" s="172">
        <v>0.25</v>
      </c>
      <c r="N34" s="173">
        <f t="shared" si="2"/>
        <v>61.365000000000002</v>
      </c>
      <c r="O34" s="167" t="s">
        <v>578</v>
      </c>
    </row>
    <row r="35" spans="1:15" x14ac:dyDescent="0.35">
      <c r="A35" s="168">
        <v>1062</v>
      </c>
      <c r="B35" s="169">
        <v>44932</v>
      </c>
      <c r="C35" s="170" t="s">
        <v>585</v>
      </c>
      <c r="D35" s="170" t="s">
        <v>584</v>
      </c>
      <c r="E35" s="168">
        <v>3439.72</v>
      </c>
      <c r="F35" s="168">
        <v>15</v>
      </c>
      <c r="G35" s="170" t="s">
        <v>582</v>
      </c>
      <c r="H35" s="168">
        <v>4888.46</v>
      </c>
      <c r="I35" s="171">
        <v>0.28999999999999998</v>
      </c>
      <c r="J35" s="170" t="s">
        <v>286</v>
      </c>
      <c r="K35" s="170" t="str">
        <f t="shared" si="0"/>
        <v>Jan</v>
      </c>
      <c r="L35" s="170">
        <f t="shared" si="1"/>
        <v>2023</v>
      </c>
      <c r="M35" s="172">
        <v>0.25</v>
      </c>
      <c r="N35" s="173">
        <f t="shared" si="2"/>
        <v>859.93</v>
      </c>
      <c r="O35" s="170" t="s">
        <v>577</v>
      </c>
    </row>
    <row r="36" spans="1:15" x14ac:dyDescent="0.35">
      <c r="A36" s="174">
        <v>1047</v>
      </c>
      <c r="B36" s="175">
        <v>45146</v>
      </c>
      <c r="C36" s="167" t="s">
        <v>579</v>
      </c>
      <c r="D36" s="167" t="s">
        <v>575</v>
      </c>
      <c r="E36" s="174">
        <v>1331.25</v>
      </c>
      <c r="F36" s="174">
        <v>33</v>
      </c>
      <c r="G36" s="167" t="s">
        <v>302</v>
      </c>
      <c r="H36" s="174">
        <v>1427.21</v>
      </c>
      <c r="I36" s="176">
        <v>0.15</v>
      </c>
      <c r="J36" s="167" t="s">
        <v>286</v>
      </c>
      <c r="K36" s="170" t="str">
        <f t="shared" si="0"/>
        <v>Aug</v>
      </c>
      <c r="L36" s="170">
        <f t="shared" si="1"/>
        <v>2023</v>
      </c>
      <c r="M36" s="172">
        <v>0.25</v>
      </c>
      <c r="N36" s="173">
        <f t="shared" si="2"/>
        <v>332.8125</v>
      </c>
      <c r="O36" s="167" t="s">
        <v>577</v>
      </c>
    </row>
    <row r="37" spans="1:15" x14ac:dyDescent="0.35">
      <c r="A37" s="168">
        <v>1051</v>
      </c>
      <c r="B37" s="169">
        <v>44930</v>
      </c>
      <c r="C37" s="170" t="s">
        <v>585</v>
      </c>
      <c r="D37" s="170" t="s">
        <v>575</v>
      </c>
      <c r="E37" s="168">
        <v>4979.3599999999997</v>
      </c>
      <c r="F37" s="168">
        <v>14</v>
      </c>
      <c r="G37" s="170" t="s">
        <v>302</v>
      </c>
      <c r="H37" s="168">
        <v>3710.92</v>
      </c>
      <c r="I37" s="171">
        <v>0.1</v>
      </c>
      <c r="J37" s="170" t="s">
        <v>581</v>
      </c>
      <c r="K37" s="170" t="str">
        <f t="shared" si="0"/>
        <v>Jan</v>
      </c>
      <c r="L37" s="170">
        <f t="shared" si="1"/>
        <v>2023</v>
      </c>
      <c r="M37" s="172">
        <v>0.25</v>
      </c>
      <c r="N37" s="173">
        <f t="shared" si="2"/>
        <v>1244.8399999999999</v>
      </c>
      <c r="O37" s="170" t="s">
        <v>578</v>
      </c>
    </row>
    <row r="38" spans="1:15" x14ac:dyDescent="0.35">
      <c r="A38" s="174">
        <v>1055</v>
      </c>
      <c r="B38" s="175">
        <v>45261</v>
      </c>
      <c r="C38" s="167" t="s">
        <v>583</v>
      </c>
      <c r="D38" s="167" t="s">
        <v>435</v>
      </c>
      <c r="E38" s="174">
        <v>4102.47</v>
      </c>
      <c r="F38" s="174">
        <v>8</v>
      </c>
      <c r="G38" s="167" t="s">
        <v>576</v>
      </c>
      <c r="H38" s="174">
        <v>3838.42</v>
      </c>
      <c r="I38" s="176">
        <v>0.13</v>
      </c>
      <c r="J38" s="167" t="s">
        <v>581</v>
      </c>
      <c r="K38" s="170" t="str">
        <f t="shared" si="0"/>
        <v>Dec</v>
      </c>
      <c r="L38" s="170">
        <f t="shared" si="1"/>
        <v>2023</v>
      </c>
      <c r="M38" s="172">
        <v>0.25</v>
      </c>
      <c r="N38" s="173">
        <f t="shared" si="2"/>
        <v>1025.6175000000001</v>
      </c>
      <c r="O38" s="167" t="s">
        <v>577</v>
      </c>
    </row>
    <row r="39" spans="1:15" x14ac:dyDescent="0.35">
      <c r="A39" s="168">
        <v>1007</v>
      </c>
      <c r="B39" s="169">
        <v>44988</v>
      </c>
      <c r="C39" s="170" t="s">
        <v>585</v>
      </c>
      <c r="D39" s="170" t="s">
        <v>435</v>
      </c>
      <c r="E39" s="168">
        <v>4694.54</v>
      </c>
      <c r="F39" s="168">
        <v>1</v>
      </c>
      <c r="G39" s="170" t="s">
        <v>11</v>
      </c>
      <c r="H39" s="168">
        <v>2637.9100000000003</v>
      </c>
      <c r="I39" s="171">
        <v>0.2</v>
      </c>
      <c r="J39" s="170" t="s">
        <v>286</v>
      </c>
      <c r="K39" s="170" t="str">
        <f t="shared" si="0"/>
        <v>Mar</v>
      </c>
      <c r="L39" s="170">
        <f t="shared" si="1"/>
        <v>2023</v>
      </c>
      <c r="M39" s="172">
        <v>0.25</v>
      </c>
      <c r="N39" s="173">
        <f t="shared" si="2"/>
        <v>1173.635</v>
      </c>
      <c r="O39" s="170" t="s">
        <v>577</v>
      </c>
    </row>
    <row r="40" spans="1:15" x14ac:dyDescent="0.35">
      <c r="A40" s="174">
        <v>1073</v>
      </c>
      <c r="B40" s="175">
        <v>45261</v>
      </c>
      <c r="C40" s="167" t="s">
        <v>579</v>
      </c>
      <c r="D40" s="167" t="s">
        <v>435</v>
      </c>
      <c r="E40" s="174">
        <v>5238.42</v>
      </c>
      <c r="F40" s="174">
        <v>40</v>
      </c>
      <c r="G40" s="167" t="s">
        <v>576</v>
      </c>
      <c r="H40" s="174">
        <v>3007.4700000000003</v>
      </c>
      <c r="I40" s="176">
        <v>0.17</v>
      </c>
      <c r="J40" s="167" t="s">
        <v>286</v>
      </c>
      <c r="K40" s="170" t="str">
        <f t="shared" si="0"/>
        <v>Dec</v>
      </c>
      <c r="L40" s="170">
        <f t="shared" si="1"/>
        <v>2023</v>
      </c>
      <c r="M40" s="172">
        <v>0.25</v>
      </c>
      <c r="N40" s="173">
        <f t="shared" si="2"/>
        <v>1309.605</v>
      </c>
      <c r="O40" s="167" t="s">
        <v>578</v>
      </c>
    </row>
    <row r="41" spans="1:15" x14ac:dyDescent="0.35">
      <c r="A41" s="168">
        <v>1039</v>
      </c>
      <c r="B41" s="169">
        <v>45129</v>
      </c>
      <c r="C41" s="170" t="s">
        <v>586</v>
      </c>
      <c r="D41" s="170" t="s">
        <v>584</v>
      </c>
      <c r="E41" s="168">
        <v>6807.67</v>
      </c>
      <c r="F41" s="168">
        <v>42</v>
      </c>
      <c r="G41" s="170" t="s">
        <v>582</v>
      </c>
      <c r="H41" s="168">
        <v>3600.14</v>
      </c>
      <c r="I41" s="171">
        <v>0.19</v>
      </c>
      <c r="J41" s="170" t="s">
        <v>286</v>
      </c>
      <c r="K41" s="170" t="str">
        <f t="shared" si="0"/>
        <v>Jul</v>
      </c>
      <c r="L41" s="170">
        <f t="shared" si="1"/>
        <v>2023</v>
      </c>
      <c r="M41" s="172">
        <v>0.25</v>
      </c>
      <c r="N41" s="173">
        <f t="shared" si="2"/>
        <v>1701.9175</v>
      </c>
      <c r="O41" s="170" t="s">
        <v>578</v>
      </c>
    </row>
    <row r="42" spans="1:15" x14ac:dyDescent="0.35">
      <c r="A42" s="174">
        <v>1018</v>
      </c>
      <c r="B42" s="175">
        <v>44952</v>
      </c>
      <c r="C42" s="167" t="s">
        <v>586</v>
      </c>
      <c r="D42" s="167" t="s">
        <v>584</v>
      </c>
      <c r="E42" s="174">
        <v>3187.45</v>
      </c>
      <c r="F42" s="174">
        <v>11</v>
      </c>
      <c r="G42" s="167" t="s">
        <v>582</v>
      </c>
      <c r="H42" s="174">
        <v>2519.0700000000002</v>
      </c>
      <c r="I42" s="176">
        <v>0</v>
      </c>
      <c r="J42" s="167" t="s">
        <v>289</v>
      </c>
      <c r="K42" s="170" t="str">
        <f t="shared" si="0"/>
        <v>Jan</v>
      </c>
      <c r="L42" s="170">
        <f t="shared" si="1"/>
        <v>2023</v>
      </c>
      <c r="M42" s="172">
        <v>0.25</v>
      </c>
      <c r="N42" s="173">
        <f t="shared" si="2"/>
        <v>796.86249999999995</v>
      </c>
      <c r="O42" s="167" t="s">
        <v>577</v>
      </c>
    </row>
    <row r="43" spans="1:15" x14ac:dyDescent="0.35">
      <c r="A43" s="168">
        <v>1004</v>
      </c>
      <c r="B43" s="169">
        <v>45099</v>
      </c>
      <c r="C43" s="170" t="s">
        <v>585</v>
      </c>
      <c r="D43" s="170" t="s">
        <v>580</v>
      </c>
      <c r="E43" s="168">
        <v>7762.51</v>
      </c>
      <c r="F43" s="168">
        <v>39</v>
      </c>
      <c r="G43" s="170" t="s">
        <v>302</v>
      </c>
      <c r="H43" s="168">
        <v>2778.3999999999996</v>
      </c>
      <c r="I43" s="171">
        <v>0.05</v>
      </c>
      <c r="J43" s="170" t="s">
        <v>289</v>
      </c>
      <c r="K43" s="170" t="str">
        <f t="shared" si="0"/>
        <v>Jun</v>
      </c>
      <c r="L43" s="170">
        <f t="shared" si="1"/>
        <v>2023</v>
      </c>
      <c r="M43" s="172">
        <v>0.25</v>
      </c>
      <c r="N43" s="173">
        <f t="shared" si="2"/>
        <v>1940.6275000000001</v>
      </c>
      <c r="O43" s="170" t="s">
        <v>577</v>
      </c>
    </row>
    <row r="44" spans="1:15" x14ac:dyDescent="0.35">
      <c r="A44" s="174">
        <v>1014</v>
      </c>
      <c r="B44" s="175">
        <v>45252</v>
      </c>
      <c r="C44" s="167" t="s">
        <v>579</v>
      </c>
      <c r="D44" s="167" t="s">
        <v>435</v>
      </c>
      <c r="E44" s="174">
        <v>9762.5400000000009</v>
      </c>
      <c r="F44" s="174">
        <v>17</v>
      </c>
      <c r="G44" s="167" t="s">
        <v>11</v>
      </c>
      <c r="H44" s="174">
        <v>3204.01</v>
      </c>
      <c r="I44" s="176">
        <v>0.2</v>
      </c>
      <c r="J44" s="167" t="s">
        <v>581</v>
      </c>
      <c r="K44" s="170" t="str">
        <f t="shared" si="0"/>
        <v>Nov</v>
      </c>
      <c r="L44" s="170">
        <f t="shared" si="1"/>
        <v>2023</v>
      </c>
      <c r="M44" s="172">
        <v>0.25</v>
      </c>
      <c r="N44" s="173">
        <f t="shared" si="2"/>
        <v>2440.6350000000002</v>
      </c>
      <c r="O44" s="167" t="s">
        <v>577</v>
      </c>
    </row>
    <row r="45" spans="1:15" x14ac:dyDescent="0.35">
      <c r="A45" s="168">
        <v>1009</v>
      </c>
      <c r="B45" s="169">
        <v>45044</v>
      </c>
      <c r="C45" s="170" t="s">
        <v>586</v>
      </c>
      <c r="D45" s="170" t="s">
        <v>575</v>
      </c>
      <c r="E45" s="168">
        <v>1342.95</v>
      </c>
      <c r="F45" s="168">
        <v>33</v>
      </c>
      <c r="G45" s="170" t="s">
        <v>582</v>
      </c>
      <c r="H45" s="168">
        <v>2626.9</v>
      </c>
      <c r="I45" s="171">
        <v>0.05</v>
      </c>
      <c r="J45" s="170" t="s">
        <v>286</v>
      </c>
      <c r="K45" s="170" t="str">
        <f t="shared" si="0"/>
        <v>Apr</v>
      </c>
      <c r="L45" s="170">
        <f t="shared" si="1"/>
        <v>2023</v>
      </c>
      <c r="M45" s="172">
        <v>0.25</v>
      </c>
      <c r="N45" s="173">
        <f t="shared" si="2"/>
        <v>335.73750000000001</v>
      </c>
      <c r="O45" s="170" t="s">
        <v>577</v>
      </c>
    </row>
    <row r="46" spans="1:15" x14ac:dyDescent="0.35">
      <c r="A46" s="174">
        <v>1090</v>
      </c>
      <c r="B46" s="175">
        <v>45250</v>
      </c>
      <c r="C46" s="167" t="s">
        <v>586</v>
      </c>
      <c r="D46" s="167" t="s">
        <v>435</v>
      </c>
      <c r="E46" s="174">
        <v>267.77999999999997</v>
      </c>
      <c r="F46" s="174">
        <v>32</v>
      </c>
      <c r="G46" s="167" t="s">
        <v>302</v>
      </c>
      <c r="H46" s="174">
        <v>3152.2799999999997</v>
      </c>
      <c r="I46" s="176">
        <v>0.22</v>
      </c>
      <c r="J46" s="167" t="s">
        <v>289</v>
      </c>
      <c r="K46" s="170" t="str">
        <f t="shared" si="0"/>
        <v>Nov</v>
      </c>
      <c r="L46" s="170">
        <f t="shared" si="1"/>
        <v>2023</v>
      </c>
      <c r="M46" s="172">
        <v>0.25</v>
      </c>
      <c r="N46" s="173">
        <f t="shared" si="2"/>
        <v>66.944999999999993</v>
      </c>
      <c r="O46" s="167" t="s">
        <v>578</v>
      </c>
    </row>
    <row r="47" spans="1:15" x14ac:dyDescent="0.35">
      <c r="A47" s="168">
        <v>1084</v>
      </c>
      <c r="B47" s="169">
        <v>45151</v>
      </c>
      <c r="C47" s="170" t="s">
        <v>586</v>
      </c>
      <c r="D47" s="170" t="s">
        <v>435</v>
      </c>
      <c r="E47" s="168">
        <v>1290.05</v>
      </c>
      <c r="F47" s="168">
        <v>21</v>
      </c>
      <c r="G47" s="170" t="s">
        <v>576</v>
      </c>
      <c r="H47" s="168">
        <v>3765.31</v>
      </c>
      <c r="I47" s="171">
        <v>0.08</v>
      </c>
      <c r="J47" s="170" t="s">
        <v>289</v>
      </c>
      <c r="K47" s="170" t="str">
        <f t="shared" si="0"/>
        <v>Aug</v>
      </c>
      <c r="L47" s="170">
        <f t="shared" si="1"/>
        <v>2023</v>
      </c>
      <c r="M47" s="172">
        <v>0.25</v>
      </c>
      <c r="N47" s="173">
        <f t="shared" si="2"/>
        <v>322.51249999999999</v>
      </c>
      <c r="O47" s="170" t="s">
        <v>577</v>
      </c>
    </row>
    <row r="48" spans="1:15" x14ac:dyDescent="0.35">
      <c r="A48" s="174">
        <v>1071</v>
      </c>
      <c r="B48" s="175">
        <v>45066</v>
      </c>
      <c r="C48" s="167" t="s">
        <v>585</v>
      </c>
      <c r="D48" s="167" t="s">
        <v>435</v>
      </c>
      <c r="E48" s="174">
        <v>3003.76</v>
      </c>
      <c r="F48" s="174">
        <v>6</v>
      </c>
      <c r="G48" s="167" t="s">
        <v>576</v>
      </c>
      <c r="H48" s="174">
        <v>3206.98</v>
      </c>
      <c r="I48" s="176">
        <v>0.06</v>
      </c>
      <c r="J48" s="167" t="s">
        <v>581</v>
      </c>
      <c r="K48" s="170" t="str">
        <f t="shared" si="0"/>
        <v>May</v>
      </c>
      <c r="L48" s="170">
        <f t="shared" si="1"/>
        <v>2023</v>
      </c>
      <c r="M48" s="172">
        <v>0.25</v>
      </c>
      <c r="N48" s="173">
        <f t="shared" si="2"/>
        <v>750.94</v>
      </c>
      <c r="O48" s="167" t="s">
        <v>578</v>
      </c>
    </row>
    <row r="49" spans="1:15" x14ac:dyDescent="0.35">
      <c r="A49" s="168">
        <v>1044</v>
      </c>
      <c r="B49" s="169">
        <v>44973</v>
      </c>
      <c r="C49" s="170" t="s">
        <v>579</v>
      </c>
      <c r="D49" s="170" t="s">
        <v>580</v>
      </c>
      <c r="E49" s="168">
        <v>7754.1</v>
      </c>
      <c r="F49" s="168">
        <v>22</v>
      </c>
      <c r="G49" s="170" t="s">
        <v>11</v>
      </c>
      <c r="H49" s="168">
        <v>3454.76</v>
      </c>
      <c r="I49" s="171">
        <v>0.22</v>
      </c>
      <c r="J49" s="170" t="s">
        <v>581</v>
      </c>
      <c r="K49" s="170" t="str">
        <f t="shared" si="0"/>
        <v>Feb</v>
      </c>
      <c r="L49" s="170">
        <f t="shared" si="1"/>
        <v>2023</v>
      </c>
      <c r="M49" s="172">
        <v>0.25</v>
      </c>
      <c r="N49" s="173">
        <f t="shared" si="2"/>
        <v>1938.5250000000001</v>
      </c>
      <c r="O49" s="170" t="s">
        <v>578</v>
      </c>
    </row>
    <row r="50" spans="1:15" x14ac:dyDescent="0.35">
      <c r="A50" s="174">
        <v>1008</v>
      </c>
      <c r="B50" s="175">
        <v>44927</v>
      </c>
      <c r="C50" s="167" t="s">
        <v>585</v>
      </c>
      <c r="D50" s="167" t="s">
        <v>575</v>
      </c>
      <c r="E50" s="174">
        <v>5227.8100000000004</v>
      </c>
      <c r="F50" s="174">
        <v>38</v>
      </c>
      <c r="G50" s="167" t="s">
        <v>582</v>
      </c>
      <c r="H50" s="174">
        <v>5075.4399999999996</v>
      </c>
      <c r="I50" s="176">
        <v>0.05</v>
      </c>
      <c r="J50" s="167" t="s">
        <v>289</v>
      </c>
      <c r="K50" s="170" t="str">
        <f t="shared" si="0"/>
        <v>Jan</v>
      </c>
      <c r="L50" s="170">
        <f t="shared" si="1"/>
        <v>2023</v>
      </c>
      <c r="M50" s="172">
        <v>0.25</v>
      </c>
      <c r="N50" s="173">
        <f t="shared" si="2"/>
        <v>1306.9525000000001</v>
      </c>
      <c r="O50" s="167" t="s">
        <v>577</v>
      </c>
    </row>
    <row r="51" spans="1:15" x14ac:dyDescent="0.35">
      <c r="A51" s="168">
        <v>1035</v>
      </c>
      <c r="B51" s="169">
        <v>45068</v>
      </c>
      <c r="C51" s="170" t="s">
        <v>586</v>
      </c>
      <c r="D51" s="170" t="s">
        <v>580</v>
      </c>
      <c r="E51" s="168">
        <v>3780.22</v>
      </c>
      <c r="F51" s="168">
        <v>45</v>
      </c>
      <c r="G51" s="170" t="s">
        <v>11</v>
      </c>
      <c r="H51" s="168">
        <v>4624.1000000000004</v>
      </c>
      <c r="I51" s="171">
        <v>0.15</v>
      </c>
      <c r="J51" s="170" t="s">
        <v>286</v>
      </c>
      <c r="K51" s="170" t="str">
        <f t="shared" si="0"/>
        <v>May</v>
      </c>
      <c r="L51" s="170">
        <f t="shared" si="1"/>
        <v>2023</v>
      </c>
      <c r="M51" s="172">
        <v>0.25</v>
      </c>
      <c r="N51" s="173">
        <f t="shared" si="2"/>
        <v>945.05499999999995</v>
      </c>
      <c r="O51" s="170" t="s">
        <v>578</v>
      </c>
    </row>
    <row r="52" spans="1:15" x14ac:dyDescent="0.35">
      <c r="A52" s="174">
        <v>1078</v>
      </c>
      <c r="B52" s="175">
        <v>45246</v>
      </c>
      <c r="C52" s="167" t="s">
        <v>579</v>
      </c>
      <c r="D52" s="167" t="s">
        <v>584</v>
      </c>
      <c r="E52" s="174">
        <v>113.4</v>
      </c>
      <c r="F52" s="174">
        <v>8</v>
      </c>
      <c r="G52" s="167" t="s">
        <v>576</v>
      </c>
      <c r="H52" s="174">
        <v>3657.23</v>
      </c>
      <c r="I52" s="176">
        <v>0.03</v>
      </c>
      <c r="J52" s="167" t="s">
        <v>581</v>
      </c>
      <c r="K52" s="170" t="str">
        <f t="shared" si="0"/>
        <v>Nov</v>
      </c>
      <c r="L52" s="170">
        <f t="shared" si="1"/>
        <v>2023</v>
      </c>
      <c r="M52" s="172">
        <v>0.25</v>
      </c>
      <c r="N52" s="173">
        <f t="shared" si="2"/>
        <v>28.35</v>
      </c>
      <c r="O52" s="167" t="s">
        <v>577</v>
      </c>
    </row>
    <row r="53" spans="1:15" x14ac:dyDescent="0.35">
      <c r="A53" s="168">
        <v>1081</v>
      </c>
      <c r="B53" s="169">
        <v>44964</v>
      </c>
      <c r="C53" s="170" t="s">
        <v>579</v>
      </c>
      <c r="D53" s="170" t="s">
        <v>584</v>
      </c>
      <c r="E53" s="168">
        <v>3068.03</v>
      </c>
      <c r="F53" s="168">
        <v>41</v>
      </c>
      <c r="G53" s="170" t="s">
        <v>576</v>
      </c>
      <c r="H53" s="168">
        <v>2879.24</v>
      </c>
      <c r="I53" s="171">
        <v>0.21</v>
      </c>
      <c r="J53" s="170" t="s">
        <v>581</v>
      </c>
      <c r="K53" s="170" t="str">
        <f t="shared" si="0"/>
        <v>Feb</v>
      </c>
      <c r="L53" s="170">
        <f t="shared" si="1"/>
        <v>2023</v>
      </c>
      <c r="M53" s="172">
        <v>0.25</v>
      </c>
      <c r="N53" s="173">
        <f t="shared" si="2"/>
        <v>767.00750000000005</v>
      </c>
      <c r="O53" s="170" t="s">
        <v>577</v>
      </c>
    </row>
    <row r="54" spans="1:15" x14ac:dyDescent="0.35">
      <c r="A54" s="174">
        <v>1036</v>
      </c>
      <c r="B54" s="175">
        <v>45219</v>
      </c>
      <c r="C54" s="167" t="s">
        <v>579</v>
      </c>
      <c r="D54" s="167" t="s">
        <v>575</v>
      </c>
      <c r="E54" s="174">
        <v>6499.94</v>
      </c>
      <c r="F54" s="174">
        <v>49</v>
      </c>
      <c r="G54" s="167" t="s">
        <v>582</v>
      </c>
      <c r="H54" s="174">
        <v>1429.4399999999998</v>
      </c>
      <c r="I54" s="176">
        <v>0.16</v>
      </c>
      <c r="J54" s="167" t="s">
        <v>289</v>
      </c>
      <c r="K54" s="170" t="str">
        <f t="shared" si="0"/>
        <v>Oct</v>
      </c>
      <c r="L54" s="170">
        <f t="shared" si="1"/>
        <v>2023</v>
      </c>
      <c r="M54" s="172">
        <v>0.25</v>
      </c>
      <c r="N54" s="173">
        <f t="shared" si="2"/>
        <v>1624.9849999999999</v>
      </c>
      <c r="O54" s="167" t="s">
        <v>577</v>
      </c>
    </row>
    <row r="55" spans="1:15" x14ac:dyDescent="0.35">
      <c r="A55" s="168">
        <v>1050</v>
      </c>
      <c r="B55" s="169">
        <v>45065</v>
      </c>
      <c r="C55" s="170" t="s">
        <v>583</v>
      </c>
      <c r="D55" s="170" t="s">
        <v>584</v>
      </c>
      <c r="E55" s="168">
        <v>9744.52</v>
      </c>
      <c r="F55" s="168">
        <v>35</v>
      </c>
      <c r="G55" s="170" t="s">
        <v>582</v>
      </c>
      <c r="H55" s="168">
        <v>2384.38</v>
      </c>
      <c r="I55" s="171">
        <v>0.09</v>
      </c>
      <c r="J55" s="170" t="s">
        <v>581</v>
      </c>
      <c r="K55" s="170" t="str">
        <f t="shared" si="0"/>
        <v>May</v>
      </c>
      <c r="L55" s="170">
        <f t="shared" si="1"/>
        <v>2023</v>
      </c>
      <c r="M55" s="172">
        <v>0.25</v>
      </c>
      <c r="N55" s="173">
        <f t="shared" si="2"/>
        <v>2436.13</v>
      </c>
      <c r="O55" s="170" t="s">
        <v>578</v>
      </c>
    </row>
    <row r="56" spans="1:15" x14ac:dyDescent="0.35">
      <c r="A56" s="174">
        <v>1006</v>
      </c>
      <c r="B56" s="175">
        <v>45185</v>
      </c>
      <c r="C56" s="167" t="s">
        <v>574</v>
      </c>
      <c r="D56" s="167" t="s">
        <v>575</v>
      </c>
      <c r="E56" s="174">
        <v>8995.75</v>
      </c>
      <c r="F56" s="174">
        <v>49</v>
      </c>
      <c r="G56" s="167" t="s">
        <v>11</v>
      </c>
      <c r="H56" s="174">
        <v>3146.6000000000004</v>
      </c>
      <c r="I56" s="176">
        <v>0.08</v>
      </c>
      <c r="J56" s="167" t="s">
        <v>289</v>
      </c>
      <c r="K56" s="170" t="str">
        <f t="shared" si="0"/>
        <v>Sep</v>
      </c>
      <c r="L56" s="170">
        <f t="shared" si="1"/>
        <v>2023</v>
      </c>
      <c r="M56" s="172">
        <v>0.25</v>
      </c>
      <c r="N56" s="173">
        <f t="shared" si="2"/>
        <v>2248.9375</v>
      </c>
      <c r="O56" s="167" t="s">
        <v>578</v>
      </c>
    </row>
    <row r="57" spans="1:15" x14ac:dyDescent="0.35">
      <c r="A57" s="168">
        <v>1054</v>
      </c>
      <c r="B57" s="169">
        <v>45087</v>
      </c>
      <c r="C57" s="170" t="s">
        <v>574</v>
      </c>
      <c r="D57" s="170" t="s">
        <v>580</v>
      </c>
      <c r="E57" s="168">
        <v>7853.66</v>
      </c>
      <c r="F57" s="168">
        <v>21</v>
      </c>
      <c r="G57" s="170" t="s">
        <v>576</v>
      </c>
      <c r="H57" s="168">
        <v>5040.22</v>
      </c>
      <c r="I57" s="171">
        <v>0.05</v>
      </c>
      <c r="J57" s="170" t="s">
        <v>581</v>
      </c>
      <c r="K57" s="170" t="str">
        <f t="shared" si="0"/>
        <v>Jun</v>
      </c>
      <c r="L57" s="170">
        <f t="shared" si="1"/>
        <v>2023</v>
      </c>
      <c r="M57" s="172">
        <v>0.25</v>
      </c>
      <c r="N57" s="173">
        <f t="shared" si="2"/>
        <v>1963.415</v>
      </c>
      <c r="O57" s="170" t="s">
        <v>577</v>
      </c>
    </row>
    <row r="58" spans="1:15" x14ac:dyDescent="0.35">
      <c r="A58" s="174">
        <v>1063</v>
      </c>
      <c r="B58" s="175">
        <v>45064</v>
      </c>
      <c r="C58" s="167" t="s">
        <v>574</v>
      </c>
      <c r="D58" s="167" t="s">
        <v>435</v>
      </c>
      <c r="E58" s="174">
        <v>3098.87</v>
      </c>
      <c r="F58" s="174">
        <v>39</v>
      </c>
      <c r="G58" s="167" t="s">
        <v>11</v>
      </c>
      <c r="H58" s="174">
        <v>3931.25</v>
      </c>
      <c r="I58" s="176">
        <v>0.21</v>
      </c>
      <c r="J58" s="167" t="s">
        <v>289</v>
      </c>
      <c r="K58" s="170" t="str">
        <f t="shared" si="0"/>
        <v>May</v>
      </c>
      <c r="L58" s="170">
        <f t="shared" si="1"/>
        <v>2023</v>
      </c>
      <c r="M58" s="172">
        <v>0.25</v>
      </c>
      <c r="N58" s="173">
        <f t="shared" si="2"/>
        <v>774.71749999999997</v>
      </c>
      <c r="O58" s="167" t="s">
        <v>578</v>
      </c>
    </row>
    <row r="59" spans="1:15" x14ac:dyDescent="0.35">
      <c r="A59" s="168">
        <v>1034</v>
      </c>
      <c r="B59" s="169">
        <v>45056</v>
      </c>
      <c r="C59" s="170" t="s">
        <v>585</v>
      </c>
      <c r="D59" s="170" t="s">
        <v>584</v>
      </c>
      <c r="E59" s="168">
        <v>4892.3599999999997</v>
      </c>
      <c r="F59" s="168">
        <v>19</v>
      </c>
      <c r="G59" s="170" t="s">
        <v>582</v>
      </c>
      <c r="H59" s="168">
        <v>2180.83</v>
      </c>
      <c r="I59" s="171">
        <v>0.17</v>
      </c>
      <c r="J59" s="170" t="s">
        <v>286</v>
      </c>
      <c r="K59" s="170" t="str">
        <f t="shared" si="0"/>
        <v>May</v>
      </c>
      <c r="L59" s="170">
        <f t="shared" si="1"/>
        <v>2023</v>
      </c>
      <c r="M59" s="172">
        <v>0.25</v>
      </c>
      <c r="N59" s="173">
        <f t="shared" si="2"/>
        <v>1223.0899999999999</v>
      </c>
      <c r="O59" s="170" t="s">
        <v>578</v>
      </c>
    </row>
    <row r="60" spans="1:15" x14ac:dyDescent="0.35">
      <c r="A60" s="174">
        <v>1074</v>
      </c>
      <c r="B60" s="175">
        <v>45010</v>
      </c>
      <c r="C60" s="167" t="s">
        <v>585</v>
      </c>
      <c r="D60" s="167" t="s">
        <v>435</v>
      </c>
      <c r="E60" s="174">
        <v>7499.7</v>
      </c>
      <c r="F60" s="174">
        <v>38</v>
      </c>
      <c r="G60" s="167" t="s">
        <v>11</v>
      </c>
      <c r="H60" s="174">
        <v>2836.94</v>
      </c>
      <c r="I60" s="176">
        <v>0.19</v>
      </c>
      <c r="J60" s="167" t="s">
        <v>286</v>
      </c>
      <c r="K60" s="170" t="str">
        <f t="shared" si="0"/>
        <v>Mar</v>
      </c>
      <c r="L60" s="170">
        <f t="shared" si="1"/>
        <v>2023</v>
      </c>
      <c r="M60" s="172">
        <v>0.25</v>
      </c>
      <c r="N60" s="173">
        <f t="shared" si="2"/>
        <v>1874.925</v>
      </c>
      <c r="O60" s="167" t="s">
        <v>577</v>
      </c>
    </row>
    <row r="61" spans="1:15" x14ac:dyDescent="0.35">
      <c r="A61" s="168">
        <v>1095</v>
      </c>
      <c r="B61" s="169">
        <v>45255</v>
      </c>
      <c r="C61" s="170" t="s">
        <v>586</v>
      </c>
      <c r="D61" s="170" t="s">
        <v>584</v>
      </c>
      <c r="E61" s="168">
        <v>9432.9699999999993</v>
      </c>
      <c r="F61" s="168">
        <v>37</v>
      </c>
      <c r="G61" s="170" t="s">
        <v>302</v>
      </c>
      <c r="H61" s="168">
        <v>860.95</v>
      </c>
      <c r="I61" s="171">
        <v>0.1</v>
      </c>
      <c r="J61" s="170" t="s">
        <v>286</v>
      </c>
      <c r="K61" s="170" t="str">
        <f t="shared" si="0"/>
        <v>Nov</v>
      </c>
      <c r="L61" s="170">
        <f t="shared" si="1"/>
        <v>2023</v>
      </c>
      <c r="M61" s="172">
        <v>0.25</v>
      </c>
      <c r="N61" s="173">
        <f t="shared" si="2"/>
        <v>2358.2424999999998</v>
      </c>
      <c r="O61" s="170" t="s">
        <v>578</v>
      </c>
    </row>
    <row r="62" spans="1:15" x14ac:dyDescent="0.35">
      <c r="A62" s="174">
        <v>1048</v>
      </c>
      <c r="B62" s="175">
        <v>45199</v>
      </c>
      <c r="C62" s="167" t="s">
        <v>583</v>
      </c>
      <c r="D62" s="167" t="s">
        <v>575</v>
      </c>
      <c r="E62" s="174">
        <v>7873.38</v>
      </c>
      <c r="F62" s="174">
        <v>4</v>
      </c>
      <c r="G62" s="167" t="s">
        <v>576</v>
      </c>
      <c r="H62" s="174">
        <v>2910.5099999999998</v>
      </c>
      <c r="I62" s="176">
        <v>0.22</v>
      </c>
      <c r="J62" s="167" t="s">
        <v>286</v>
      </c>
      <c r="K62" s="170" t="str">
        <f t="shared" si="0"/>
        <v>Sep</v>
      </c>
      <c r="L62" s="170">
        <f t="shared" si="1"/>
        <v>2023</v>
      </c>
      <c r="M62" s="172">
        <v>0.25</v>
      </c>
      <c r="N62" s="173">
        <f t="shared" si="2"/>
        <v>1968.345</v>
      </c>
      <c r="O62" s="167" t="s">
        <v>578</v>
      </c>
    </row>
    <row r="63" spans="1:15" x14ac:dyDescent="0.35">
      <c r="A63" s="168">
        <v>1040</v>
      </c>
      <c r="B63" s="169">
        <v>44995</v>
      </c>
      <c r="C63" s="170" t="s">
        <v>583</v>
      </c>
      <c r="D63" s="170" t="s">
        <v>584</v>
      </c>
      <c r="E63" s="168">
        <v>2331.27</v>
      </c>
      <c r="F63" s="168">
        <v>13</v>
      </c>
      <c r="G63" s="170" t="s">
        <v>582</v>
      </c>
      <c r="H63" s="168">
        <v>2882.85</v>
      </c>
      <c r="I63" s="171">
        <v>0.24</v>
      </c>
      <c r="J63" s="170" t="s">
        <v>286</v>
      </c>
      <c r="K63" s="170" t="str">
        <f t="shared" si="0"/>
        <v>Mar</v>
      </c>
      <c r="L63" s="170">
        <f t="shared" si="1"/>
        <v>2023</v>
      </c>
      <c r="M63" s="172">
        <v>0.25</v>
      </c>
      <c r="N63" s="173">
        <f t="shared" si="2"/>
        <v>582.8175</v>
      </c>
      <c r="O63" s="170" t="s">
        <v>577</v>
      </c>
    </row>
    <row r="64" spans="1:15" x14ac:dyDescent="0.35">
      <c r="A64" s="174">
        <v>1085</v>
      </c>
      <c r="B64" s="175">
        <v>45244</v>
      </c>
      <c r="C64" s="167" t="s">
        <v>583</v>
      </c>
      <c r="D64" s="167" t="s">
        <v>580</v>
      </c>
      <c r="E64" s="174">
        <v>2038.75</v>
      </c>
      <c r="F64" s="174">
        <v>32</v>
      </c>
      <c r="G64" s="167" t="s">
        <v>576</v>
      </c>
      <c r="H64" s="174">
        <v>1492.48</v>
      </c>
      <c r="I64" s="176">
        <v>0.04</v>
      </c>
      <c r="J64" s="167" t="s">
        <v>286</v>
      </c>
      <c r="K64" s="170" t="str">
        <f t="shared" si="0"/>
        <v>Nov</v>
      </c>
      <c r="L64" s="170">
        <f t="shared" si="1"/>
        <v>2023</v>
      </c>
      <c r="M64" s="172">
        <v>0.25</v>
      </c>
      <c r="N64" s="173">
        <f t="shared" si="2"/>
        <v>509.6875</v>
      </c>
      <c r="O64" s="167" t="s">
        <v>578</v>
      </c>
    </row>
    <row r="65" spans="1:15" x14ac:dyDescent="0.35">
      <c r="A65" s="168">
        <v>1082</v>
      </c>
      <c r="B65" s="169">
        <v>45260</v>
      </c>
      <c r="C65" s="170" t="s">
        <v>586</v>
      </c>
      <c r="D65" s="170" t="s">
        <v>580</v>
      </c>
      <c r="E65" s="168">
        <v>6261.9</v>
      </c>
      <c r="F65" s="168">
        <v>41</v>
      </c>
      <c r="G65" s="170" t="s">
        <v>302</v>
      </c>
      <c r="H65" s="168">
        <v>1444.97</v>
      </c>
      <c r="I65" s="171">
        <v>0.21</v>
      </c>
      <c r="J65" s="170" t="s">
        <v>581</v>
      </c>
      <c r="K65" s="170" t="str">
        <f t="shared" si="0"/>
        <v>Nov</v>
      </c>
      <c r="L65" s="170">
        <f t="shared" si="1"/>
        <v>2023</v>
      </c>
      <c r="M65" s="172">
        <v>0.25</v>
      </c>
      <c r="N65" s="173">
        <f t="shared" si="2"/>
        <v>1565.4749999999999</v>
      </c>
      <c r="O65" s="170" t="s">
        <v>577</v>
      </c>
    </row>
    <row r="66" spans="1:15" x14ac:dyDescent="0.35">
      <c r="A66" s="174">
        <v>1026</v>
      </c>
      <c r="B66" s="175">
        <v>44961</v>
      </c>
      <c r="C66" s="167" t="s">
        <v>586</v>
      </c>
      <c r="D66" s="167" t="s">
        <v>435</v>
      </c>
      <c r="E66" s="174">
        <v>1554.93</v>
      </c>
      <c r="F66" s="174">
        <v>19</v>
      </c>
      <c r="G66" s="167" t="s">
        <v>302</v>
      </c>
      <c r="H66" s="174">
        <v>1715.83</v>
      </c>
      <c r="I66" s="176">
        <v>0.05</v>
      </c>
      <c r="J66" s="167" t="s">
        <v>286</v>
      </c>
      <c r="K66" s="170" t="str">
        <f t="shared" si="0"/>
        <v>Feb</v>
      </c>
      <c r="L66" s="170">
        <f t="shared" si="1"/>
        <v>2023</v>
      </c>
      <c r="M66" s="172">
        <v>0.25</v>
      </c>
      <c r="N66" s="173">
        <f t="shared" si="2"/>
        <v>388.73250000000002</v>
      </c>
      <c r="O66" s="167" t="s">
        <v>578</v>
      </c>
    </row>
    <row r="67" spans="1:15" x14ac:dyDescent="0.35">
      <c r="A67" s="168">
        <v>1041</v>
      </c>
      <c r="B67" s="169">
        <v>45246</v>
      </c>
      <c r="C67" s="170" t="s">
        <v>579</v>
      </c>
      <c r="D67" s="170" t="s">
        <v>580</v>
      </c>
      <c r="E67" s="168">
        <v>3942.84</v>
      </c>
      <c r="F67" s="168">
        <v>40</v>
      </c>
      <c r="G67" s="170" t="s">
        <v>11</v>
      </c>
      <c r="H67" s="168">
        <v>1067.53</v>
      </c>
      <c r="I67" s="171">
        <v>0.18</v>
      </c>
      <c r="J67" s="170" t="s">
        <v>289</v>
      </c>
      <c r="K67" s="170" t="str">
        <f t="shared" si="0"/>
        <v>Nov</v>
      </c>
      <c r="L67" s="170">
        <f t="shared" si="1"/>
        <v>2023</v>
      </c>
      <c r="M67" s="172">
        <v>0.25</v>
      </c>
      <c r="N67" s="173">
        <f t="shared" si="2"/>
        <v>985.71</v>
      </c>
      <c r="O67" s="170" t="s">
        <v>577</v>
      </c>
    </row>
    <row r="68" spans="1:15" x14ac:dyDescent="0.35">
      <c r="A68" s="174">
        <v>1029</v>
      </c>
      <c r="B68" s="175">
        <v>44986</v>
      </c>
      <c r="C68" s="167" t="s">
        <v>579</v>
      </c>
      <c r="D68" s="167" t="s">
        <v>584</v>
      </c>
      <c r="E68" s="174">
        <v>6773.89</v>
      </c>
      <c r="F68" s="174">
        <v>28</v>
      </c>
      <c r="G68" s="167" t="s">
        <v>582</v>
      </c>
      <c r="H68" s="174">
        <v>3108.3</v>
      </c>
      <c r="I68" s="176">
        <v>0.15</v>
      </c>
      <c r="J68" s="167" t="s">
        <v>286</v>
      </c>
      <c r="K68" s="170" t="str">
        <f t="shared" si="0"/>
        <v>Mar</v>
      </c>
      <c r="L68" s="170">
        <f t="shared" si="1"/>
        <v>2023</v>
      </c>
      <c r="M68" s="172">
        <v>0.25</v>
      </c>
      <c r="N68" s="173">
        <f t="shared" si="2"/>
        <v>1693.4725000000001</v>
      </c>
      <c r="O68" s="167" t="s">
        <v>578</v>
      </c>
    </row>
    <row r="69" spans="1:15" x14ac:dyDescent="0.35">
      <c r="A69" s="168">
        <v>1045</v>
      </c>
      <c r="B69" s="169">
        <v>45275</v>
      </c>
      <c r="C69" s="170" t="s">
        <v>579</v>
      </c>
      <c r="D69" s="170" t="s">
        <v>580</v>
      </c>
      <c r="E69" s="168">
        <v>3517.4</v>
      </c>
      <c r="F69" s="168">
        <v>42</v>
      </c>
      <c r="G69" s="170" t="s">
        <v>582</v>
      </c>
      <c r="H69" s="168">
        <v>3745.91</v>
      </c>
      <c r="I69" s="171">
        <v>0.1</v>
      </c>
      <c r="J69" s="170" t="s">
        <v>289</v>
      </c>
      <c r="K69" s="170" t="str">
        <f t="shared" si="0"/>
        <v>Dec</v>
      </c>
      <c r="L69" s="170">
        <f t="shared" si="1"/>
        <v>2023</v>
      </c>
      <c r="M69" s="172">
        <v>0.25</v>
      </c>
      <c r="N69" s="173">
        <f t="shared" si="2"/>
        <v>879.35</v>
      </c>
      <c r="O69" s="170" t="s">
        <v>577</v>
      </c>
    </row>
    <row r="70" spans="1:15" x14ac:dyDescent="0.35">
      <c r="A70" s="174">
        <v>1065</v>
      </c>
      <c r="B70" s="175">
        <v>45254</v>
      </c>
      <c r="C70" s="167" t="s">
        <v>574</v>
      </c>
      <c r="D70" s="167" t="s">
        <v>584</v>
      </c>
      <c r="E70" s="174">
        <v>9183.11</v>
      </c>
      <c r="F70" s="174">
        <v>18</v>
      </c>
      <c r="G70" s="167" t="s">
        <v>11</v>
      </c>
      <c r="H70" s="174">
        <v>1273.98</v>
      </c>
      <c r="I70" s="176">
        <v>0.02</v>
      </c>
      <c r="J70" s="167" t="s">
        <v>581</v>
      </c>
      <c r="K70" s="170" t="str">
        <f t="shared" ref="K70:K104" si="3">TEXT(B70,"mmm")</f>
        <v>Nov</v>
      </c>
      <c r="L70" s="170">
        <f t="shared" ref="L70:L104" si="4">YEAR(B70)</f>
        <v>2023</v>
      </c>
      <c r="M70" s="172">
        <v>0.25</v>
      </c>
      <c r="N70" s="173">
        <f t="shared" ref="N70:N104" si="5">E70*25%</f>
        <v>2295.7775000000001</v>
      </c>
      <c r="O70" s="167" t="s">
        <v>578</v>
      </c>
    </row>
    <row r="71" spans="1:15" x14ac:dyDescent="0.35">
      <c r="A71" s="168">
        <v>1001</v>
      </c>
      <c r="B71" s="169">
        <v>45242</v>
      </c>
      <c r="C71" s="170" t="s">
        <v>586</v>
      </c>
      <c r="D71" s="170" t="s">
        <v>575</v>
      </c>
      <c r="E71" s="168">
        <v>715.81</v>
      </c>
      <c r="F71" s="168">
        <v>8</v>
      </c>
      <c r="G71" s="170" t="s">
        <v>302</v>
      </c>
      <c r="H71" s="168">
        <v>3729.27</v>
      </c>
      <c r="I71" s="171">
        <v>0.09</v>
      </c>
      <c r="J71" s="170" t="s">
        <v>581</v>
      </c>
      <c r="K71" s="170" t="str">
        <f t="shared" si="3"/>
        <v>Nov</v>
      </c>
      <c r="L71" s="170">
        <f t="shared" si="4"/>
        <v>2023</v>
      </c>
      <c r="M71" s="172">
        <v>0.25</v>
      </c>
      <c r="N71" s="173">
        <f t="shared" si="5"/>
        <v>178.95249999999999</v>
      </c>
      <c r="O71" s="170" t="s">
        <v>578</v>
      </c>
    </row>
    <row r="72" spans="1:15" x14ac:dyDescent="0.35">
      <c r="A72" s="174">
        <v>1011</v>
      </c>
      <c r="B72" s="175">
        <v>45091</v>
      </c>
      <c r="C72" s="167" t="s">
        <v>586</v>
      </c>
      <c r="D72" s="167" t="s">
        <v>580</v>
      </c>
      <c r="E72" s="174">
        <v>4531.97</v>
      </c>
      <c r="F72" s="174">
        <v>38</v>
      </c>
      <c r="G72" s="167" t="s">
        <v>576</v>
      </c>
      <c r="H72" s="174">
        <v>4642.46</v>
      </c>
      <c r="I72" s="176">
        <v>0.06</v>
      </c>
      <c r="J72" s="167" t="s">
        <v>581</v>
      </c>
      <c r="K72" s="170" t="str">
        <f t="shared" si="3"/>
        <v>Jun</v>
      </c>
      <c r="L72" s="170">
        <f t="shared" si="4"/>
        <v>2023</v>
      </c>
      <c r="M72" s="172">
        <v>0.25</v>
      </c>
      <c r="N72" s="173">
        <f t="shared" si="5"/>
        <v>1132.9925000000001</v>
      </c>
      <c r="O72" s="167" t="s">
        <v>577</v>
      </c>
    </row>
    <row r="73" spans="1:15" x14ac:dyDescent="0.35">
      <c r="A73" s="168">
        <v>1005</v>
      </c>
      <c r="B73" s="169">
        <v>45015</v>
      </c>
      <c r="C73" s="170" t="s">
        <v>586</v>
      </c>
      <c r="D73" s="170" t="s">
        <v>584</v>
      </c>
      <c r="E73" s="168">
        <v>6828.24</v>
      </c>
      <c r="F73" s="168">
        <v>12</v>
      </c>
      <c r="G73" s="170" t="s">
        <v>302</v>
      </c>
      <c r="H73" s="168">
        <v>802.43000000000006</v>
      </c>
      <c r="I73" s="171">
        <v>0.04</v>
      </c>
      <c r="J73" s="170" t="s">
        <v>286</v>
      </c>
      <c r="K73" s="170" t="str">
        <f t="shared" si="3"/>
        <v>Mar</v>
      </c>
      <c r="L73" s="170">
        <f t="shared" si="4"/>
        <v>2023</v>
      </c>
      <c r="M73" s="172">
        <v>0.25</v>
      </c>
      <c r="N73" s="173">
        <f t="shared" si="5"/>
        <v>1707.06</v>
      </c>
      <c r="O73" s="170" t="s">
        <v>578</v>
      </c>
    </row>
    <row r="74" spans="1:15" x14ac:dyDescent="0.35">
      <c r="A74" s="174">
        <v>1028</v>
      </c>
      <c r="B74" s="175">
        <v>44968</v>
      </c>
      <c r="C74" s="167" t="s">
        <v>586</v>
      </c>
      <c r="D74" s="167" t="s">
        <v>584</v>
      </c>
      <c r="E74" s="174">
        <v>2819.57</v>
      </c>
      <c r="F74" s="174">
        <v>24</v>
      </c>
      <c r="G74" s="167" t="s">
        <v>582</v>
      </c>
      <c r="H74" s="174">
        <v>2766.05</v>
      </c>
      <c r="I74" s="176">
        <v>0.16</v>
      </c>
      <c r="J74" s="167" t="s">
        <v>581</v>
      </c>
      <c r="K74" s="170" t="str">
        <f t="shared" si="3"/>
        <v>Feb</v>
      </c>
      <c r="L74" s="170">
        <f t="shared" si="4"/>
        <v>2023</v>
      </c>
      <c r="M74" s="172">
        <v>0.25</v>
      </c>
      <c r="N74" s="173">
        <f t="shared" si="5"/>
        <v>704.89250000000004</v>
      </c>
      <c r="O74" s="167" t="s">
        <v>578</v>
      </c>
    </row>
    <row r="75" spans="1:15" x14ac:dyDescent="0.35">
      <c r="A75" s="168">
        <v>1012</v>
      </c>
      <c r="B75" s="169">
        <v>45221</v>
      </c>
      <c r="C75" s="170" t="s">
        <v>579</v>
      </c>
      <c r="D75" s="170" t="s">
        <v>575</v>
      </c>
      <c r="E75" s="168">
        <v>4384.88</v>
      </c>
      <c r="F75" s="168">
        <v>34</v>
      </c>
      <c r="G75" s="170" t="s">
        <v>576</v>
      </c>
      <c r="H75" s="168">
        <v>2521.77</v>
      </c>
      <c r="I75" s="171">
        <v>0.21</v>
      </c>
      <c r="J75" s="170" t="s">
        <v>581</v>
      </c>
      <c r="K75" s="170" t="str">
        <f t="shared" si="3"/>
        <v>Oct</v>
      </c>
      <c r="L75" s="170">
        <f t="shared" si="4"/>
        <v>2023</v>
      </c>
      <c r="M75" s="172">
        <v>0.25</v>
      </c>
      <c r="N75" s="173">
        <f t="shared" si="5"/>
        <v>1096.22</v>
      </c>
      <c r="O75" s="170" t="s">
        <v>578</v>
      </c>
    </row>
    <row r="76" spans="1:15" x14ac:dyDescent="0.35">
      <c r="A76" s="174">
        <v>1023</v>
      </c>
      <c r="B76" s="175">
        <v>45105</v>
      </c>
      <c r="C76" s="167" t="s">
        <v>585</v>
      </c>
      <c r="D76" s="167" t="s">
        <v>584</v>
      </c>
      <c r="E76" s="174">
        <v>2170.94</v>
      </c>
      <c r="F76" s="174">
        <v>9</v>
      </c>
      <c r="G76" s="167" t="s">
        <v>582</v>
      </c>
      <c r="H76" s="174">
        <v>4273.6000000000004</v>
      </c>
      <c r="I76" s="176">
        <v>0.25</v>
      </c>
      <c r="J76" s="167" t="s">
        <v>289</v>
      </c>
      <c r="K76" s="170" t="str">
        <f t="shared" si="3"/>
        <v>Jun</v>
      </c>
      <c r="L76" s="170">
        <f t="shared" si="4"/>
        <v>2023</v>
      </c>
      <c r="M76" s="172">
        <v>0.25</v>
      </c>
      <c r="N76" s="173">
        <f t="shared" si="5"/>
        <v>542.73500000000001</v>
      </c>
      <c r="O76" s="167" t="s">
        <v>578</v>
      </c>
    </row>
    <row r="77" spans="1:15" x14ac:dyDescent="0.35">
      <c r="A77" s="168">
        <v>1037</v>
      </c>
      <c r="B77" s="169">
        <v>44949</v>
      </c>
      <c r="C77" s="170" t="s">
        <v>574</v>
      </c>
      <c r="D77" s="170" t="s">
        <v>575</v>
      </c>
      <c r="E77" s="168">
        <v>9813.81</v>
      </c>
      <c r="F77" s="168">
        <v>40</v>
      </c>
      <c r="G77" s="170" t="s">
        <v>582</v>
      </c>
      <c r="H77" s="168">
        <v>3192.37</v>
      </c>
      <c r="I77" s="171">
        <v>0.26</v>
      </c>
      <c r="J77" s="170" t="s">
        <v>581</v>
      </c>
      <c r="K77" s="170" t="str">
        <f t="shared" si="3"/>
        <v>Jan</v>
      </c>
      <c r="L77" s="170">
        <f t="shared" si="4"/>
        <v>2023</v>
      </c>
      <c r="M77" s="172">
        <v>0.25</v>
      </c>
      <c r="N77" s="173">
        <f t="shared" si="5"/>
        <v>2453.4524999999999</v>
      </c>
      <c r="O77" s="170" t="s">
        <v>577</v>
      </c>
    </row>
    <row r="78" spans="1:15" x14ac:dyDescent="0.35">
      <c r="A78" s="174">
        <v>1099</v>
      </c>
      <c r="B78" s="175">
        <v>44989</v>
      </c>
      <c r="C78" s="167" t="s">
        <v>579</v>
      </c>
      <c r="D78" s="167" t="s">
        <v>584</v>
      </c>
      <c r="E78" s="174">
        <v>7952.11</v>
      </c>
      <c r="F78" s="174">
        <v>10</v>
      </c>
      <c r="G78" s="167" t="s">
        <v>576</v>
      </c>
      <c r="H78" s="174">
        <v>1955.56</v>
      </c>
      <c r="I78" s="176">
        <v>0</v>
      </c>
      <c r="J78" s="167" t="s">
        <v>286</v>
      </c>
      <c r="K78" s="170" t="str">
        <f t="shared" si="3"/>
        <v>Mar</v>
      </c>
      <c r="L78" s="170">
        <f t="shared" si="4"/>
        <v>2023</v>
      </c>
      <c r="M78" s="172">
        <v>0.25</v>
      </c>
      <c r="N78" s="173">
        <f t="shared" si="5"/>
        <v>1988.0274999999999</v>
      </c>
      <c r="O78" s="167" t="s">
        <v>577</v>
      </c>
    </row>
    <row r="79" spans="1:15" x14ac:dyDescent="0.35">
      <c r="A79" s="168">
        <v>1086</v>
      </c>
      <c r="B79" s="169">
        <v>45079</v>
      </c>
      <c r="C79" s="170" t="s">
        <v>574</v>
      </c>
      <c r="D79" s="170" t="s">
        <v>584</v>
      </c>
      <c r="E79" s="168">
        <v>2495.5700000000002</v>
      </c>
      <c r="F79" s="168">
        <v>3</v>
      </c>
      <c r="G79" s="170" t="s">
        <v>302</v>
      </c>
      <c r="H79" s="168">
        <v>1625.7099999999998</v>
      </c>
      <c r="I79" s="171">
        <v>0.27</v>
      </c>
      <c r="J79" s="170" t="s">
        <v>289</v>
      </c>
      <c r="K79" s="170" t="str">
        <f t="shared" si="3"/>
        <v>Jun</v>
      </c>
      <c r="L79" s="170">
        <f t="shared" si="4"/>
        <v>2023</v>
      </c>
      <c r="M79" s="172">
        <v>0.25</v>
      </c>
      <c r="N79" s="173">
        <f t="shared" si="5"/>
        <v>623.89250000000004</v>
      </c>
      <c r="O79" s="170" t="s">
        <v>577</v>
      </c>
    </row>
    <row r="80" spans="1:15" x14ac:dyDescent="0.35">
      <c r="A80" s="174">
        <v>1027</v>
      </c>
      <c r="B80" s="175">
        <v>44941</v>
      </c>
      <c r="C80" s="167" t="s">
        <v>574</v>
      </c>
      <c r="D80" s="167" t="s">
        <v>435</v>
      </c>
      <c r="E80" s="174">
        <v>6261.2</v>
      </c>
      <c r="F80" s="174">
        <v>26</v>
      </c>
      <c r="G80" s="167" t="s">
        <v>11</v>
      </c>
      <c r="H80" s="174">
        <v>477.67</v>
      </c>
      <c r="I80" s="176">
        <v>0.14000000000000001</v>
      </c>
      <c r="J80" s="167" t="s">
        <v>289</v>
      </c>
      <c r="K80" s="170" t="str">
        <f t="shared" si="3"/>
        <v>Jan</v>
      </c>
      <c r="L80" s="170">
        <f t="shared" si="4"/>
        <v>2023</v>
      </c>
      <c r="M80" s="172">
        <v>0.25</v>
      </c>
      <c r="N80" s="173">
        <f t="shared" si="5"/>
        <v>1565.3</v>
      </c>
      <c r="O80" s="167" t="s">
        <v>578</v>
      </c>
    </row>
    <row r="81" spans="1:15" x14ac:dyDescent="0.35">
      <c r="A81" s="168">
        <v>1079</v>
      </c>
      <c r="B81" s="169">
        <v>45083</v>
      </c>
      <c r="C81" s="170" t="s">
        <v>579</v>
      </c>
      <c r="D81" s="170" t="s">
        <v>580</v>
      </c>
      <c r="E81" s="168">
        <v>1982.07</v>
      </c>
      <c r="F81" s="168">
        <v>34</v>
      </c>
      <c r="G81" s="170" t="s">
        <v>576</v>
      </c>
      <c r="H81" s="168">
        <v>1993.4</v>
      </c>
      <c r="I81" s="171">
        <v>0.15</v>
      </c>
      <c r="J81" s="170" t="s">
        <v>286</v>
      </c>
      <c r="K81" s="170" t="str">
        <f t="shared" si="3"/>
        <v>Jun</v>
      </c>
      <c r="L81" s="170">
        <f t="shared" si="4"/>
        <v>2023</v>
      </c>
      <c r="M81" s="172">
        <v>0.25</v>
      </c>
      <c r="N81" s="173">
        <f t="shared" si="5"/>
        <v>495.51749999999998</v>
      </c>
      <c r="O81" s="170" t="s">
        <v>577</v>
      </c>
    </row>
    <row r="82" spans="1:15" x14ac:dyDescent="0.35">
      <c r="A82" s="174">
        <v>1077</v>
      </c>
      <c r="B82" s="175">
        <v>44964</v>
      </c>
      <c r="C82" s="167" t="s">
        <v>585</v>
      </c>
      <c r="D82" s="167" t="s">
        <v>435</v>
      </c>
      <c r="E82" s="174">
        <v>9605.34</v>
      </c>
      <c r="F82" s="174">
        <v>12</v>
      </c>
      <c r="G82" s="167" t="s">
        <v>582</v>
      </c>
      <c r="H82" s="174">
        <v>2743.09</v>
      </c>
      <c r="I82" s="176">
        <v>0.28999999999999998</v>
      </c>
      <c r="J82" s="167" t="s">
        <v>286</v>
      </c>
      <c r="K82" s="170" t="str">
        <f t="shared" si="3"/>
        <v>Feb</v>
      </c>
      <c r="L82" s="170">
        <f t="shared" si="4"/>
        <v>2023</v>
      </c>
      <c r="M82" s="172">
        <v>0.25</v>
      </c>
      <c r="N82" s="173">
        <f t="shared" si="5"/>
        <v>2401.335</v>
      </c>
      <c r="O82" s="167" t="s">
        <v>578</v>
      </c>
    </row>
    <row r="83" spans="1:15" x14ac:dyDescent="0.35">
      <c r="A83" s="168">
        <v>1096</v>
      </c>
      <c r="B83" s="169">
        <v>45180</v>
      </c>
      <c r="C83" s="170" t="s">
        <v>585</v>
      </c>
      <c r="D83" s="170" t="s">
        <v>580</v>
      </c>
      <c r="E83" s="168">
        <v>7597.37</v>
      </c>
      <c r="F83" s="168">
        <v>23</v>
      </c>
      <c r="G83" s="170" t="s">
        <v>302</v>
      </c>
      <c r="H83" s="168">
        <v>1032.22</v>
      </c>
      <c r="I83" s="171">
        <v>0.25</v>
      </c>
      <c r="J83" s="170" t="s">
        <v>289</v>
      </c>
      <c r="K83" s="170" t="str">
        <f t="shared" si="3"/>
        <v>Sep</v>
      </c>
      <c r="L83" s="170">
        <f t="shared" si="4"/>
        <v>2023</v>
      </c>
      <c r="M83" s="172">
        <v>0.25</v>
      </c>
      <c r="N83" s="173">
        <f t="shared" si="5"/>
        <v>1899.3425</v>
      </c>
      <c r="O83" s="170" t="s">
        <v>578</v>
      </c>
    </row>
    <row r="84" spans="1:15" x14ac:dyDescent="0.35">
      <c r="A84" s="174">
        <v>1094</v>
      </c>
      <c r="B84" s="175">
        <v>44936</v>
      </c>
      <c r="C84" s="167" t="s">
        <v>585</v>
      </c>
      <c r="D84" s="167" t="s">
        <v>575</v>
      </c>
      <c r="E84" s="174">
        <v>2548.67</v>
      </c>
      <c r="F84" s="174">
        <v>25</v>
      </c>
      <c r="G84" s="167" t="s">
        <v>302</v>
      </c>
      <c r="H84" s="174">
        <v>1982.92</v>
      </c>
      <c r="I84" s="176">
        <v>0.17</v>
      </c>
      <c r="J84" s="167" t="s">
        <v>581</v>
      </c>
      <c r="K84" s="170" t="str">
        <f t="shared" si="3"/>
        <v>Jan</v>
      </c>
      <c r="L84" s="170">
        <f t="shared" si="4"/>
        <v>2023</v>
      </c>
      <c r="M84" s="172">
        <v>0.25</v>
      </c>
      <c r="N84" s="173">
        <f t="shared" si="5"/>
        <v>637.16750000000002</v>
      </c>
      <c r="O84" s="167" t="s">
        <v>577</v>
      </c>
    </row>
    <row r="85" spans="1:15" x14ac:dyDescent="0.35">
      <c r="A85" s="168">
        <v>1043</v>
      </c>
      <c r="B85" s="169">
        <v>45256</v>
      </c>
      <c r="C85" s="170" t="s">
        <v>574</v>
      </c>
      <c r="D85" s="170" t="s">
        <v>580</v>
      </c>
      <c r="E85" s="168">
        <v>1710.73</v>
      </c>
      <c r="F85" s="168">
        <v>3</v>
      </c>
      <c r="G85" s="170" t="s">
        <v>302</v>
      </c>
      <c r="H85" s="168">
        <v>2186.42</v>
      </c>
      <c r="I85" s="171">
        <v>0.25</v>
      </c>
      <c r="J85" s="170" t="s">
        <v>581</v>
      </c>
      <c r="K85" s="170" t="str">
        <f t="shared" si="3"/>
        <v>Nov</v>
      </c>
      <c r="L85" s="170">
        <f t="shared" si="4"/>
        <v>2023</v>
      </c>
      <c r="M85" s="172">
        <v>0.25</v>
      </c>
      <c r="N85" s="173">
        <f t="shared" si="5"/>
        <v>427.6825</v>
      </c>
      <c r="O85" s="170" t="s">
        <v>577</v>
      </c>
    </row>
    <row r="86" spans="1:15" x14ac:dyDescent="0.35">
      <c r="A86" s="174">
        <v>1013</v>
      </c>
      <c r="B86" s="175">
        <v>45220</v>
      </c>
      <c r="C86" s="167" t="s">
        <v>579</v>
      </c>
      <c r="D86" s="167" t="s">
        <v>584</v>
      </c>
      <c r="E86" s="174">
        <v>5039.07</v>
      </c>
      <c r="F86" s="174">
        <v>20</v>
      </c>
      <c r="G86" s="167" t="s">
        <v>302</v>
      </c>
      <c r="H86" s="174">
        <v>1649.7399999999998</v>
      </c>
      <c r="I86" s="176">
        <v>0.1</v>
      </c>
      <c r="J86" s="167" t="s">
        <v>581</v>
      </c>
      <c r="K86" s="170" t="str">
        <f t="shared" si="3"/>
        <v>Oct</v>
      </c>
      <c r="L86" s="170">
        <f t="shared" si="4"/>
        <v>2023</v>
      </c>
      <c r="M86" s="172">
        <v>0.25</v>
      </c>
      <c r="N86" s="173">
        <f t="shared" si="5"/>
        <v>1259.7674999999999</v>
      </c>
      <c r="O86" s="167" t="s">
        <v>577</v>
      </c>
    </row>
    <row r="87" spans="1:15" x14ac:dyDescent="0.35">
      <c r="A87" s="168">
        <v>1032</v>
      </c>
      <c r="B87" s="169">
        <v>45085</v>
      </c>
      <c r="C87" s="170" t="s">
        <v>585</v>
      </c>
      <c r="D87" s="170" t="s">
        <v>435</v>
      </c>
      <c r="E87" s="168">
        <v>219.82</v>
      </c>
      <c r="F87" s="168">
        <v>49</v>
      </c>
      <c r="G87" s="170" t="s">
        <v>302</v>
      </c>
      <c r="H87" s="168">
        <v>5088</v>
      </c>
      <c r="I87" s="171">
        <v>0.09</v>
      </c>
      <c r="J87" s="170" t="s">
        <v>286</v>
      </c>
      <c r="K87" s="170" t="str">
        <f t="shared" si="3"/>
        <v>Jun</v>
      </c>
      <c r="L87" s="170">
        <f t="shared" si="4"/>
        <v>2023</v>
      </c>
      <c r="M87" s="172">
        <v>0.25</v>
      </c>
      <c r="N87" s="173">
        <f t="shared" si="5"/>
        <v>54.954999999999998</v>
      </c>
      <c r="O87" s="170" t="s">
        <v>577</v>
      </c>
    </row>
    <row r="88" spans="1:15" x14ac:dyDescent="0.35">
      <c r="A88" s="174">
        <v>1066</v>
      </c>
      <c r="B88" s="175">
        <v>45110</v>
      </c>
      <c r="C88" s="167" t="s">
        <v>583</v>
      </c>
      <c r="D88" s="167" t="s">
        <v>575</v>
      </c>
      <c r="E88" s="174">
        <v>6380.2</v>
      </c>
      <c r="F88" s="174">
        <v>15</v>
      </c>
      <c r="G88" s="167" t="s">
        <v>576</v>
      </c>
      <c r="H88" s="174">
        <v>2867.36</v>
      </c>
      <c r="I88" s="176">
        <v>0.04</v>
      </c>
      <c r="J88" s="167" t="s">
        <v>581</v>
      </c>
      <c r="K88" s="170" t="str">
        <f t="shared" si="3"/>
        <v>Jul</v>
      </c>
      <c r="L88" s="170">
        <f t="shared" si="4"/>
        <v>2023</v>
      </c>
      <c r="M88" s="172">
        <v>0.25</v>
      </c>
      <c r="N88" s="173">
        <f t="shared" si="5"/>
        <v>1595.05</v>
      </c>
      <c r="O88" s="167" t="s">
        <v>578</v>
      </c>
    </row>
    <row r="89" spans="1:15" x14ac:dyDescent="0.35">
      <c r="A89" s="168">
        <v>1057</v>
      </c>
      <c r="B89" s="169">
        <v>45187</v>
      </c>
      <c r="C89" s="170" t="s">
        <v>583</v>
      </c>
      <c r="D89" s="170" t="s">
        <v>435</v>
      </c>
      <c r="E89" s="168">
        <v>7315.73</v>
      </c>
      <c r="F89" s="168">
        <v>25</v>
      </c>
      <c r="G89" s="170" t="s">
        <v>11</v>
      </c>
      <c r="H89" s="168">
        <v>2027.74</v>
      </c>
      <c r="I89" s="171">
        <v>0.02</v>
      </c>
      <c r="J89" s="170" t="s">
        <v>581</v>
      </c>
      <c r="K89" s="170" t="str">
        <f t="shared" si="3"/>
        <v>Sep</v>
      </c>
      <c r="L89" s="170">
        <f t="shared" si="4"/>
        <v>2023</v>
      </c>
      <c r="M89" s="172">
        <v>0.25</v>
      </c>
      <c r="N89" s="173">
        <f t="shared" si="5"/>
        <v>1828.9324999999999</v>
      </c>
      <c r="O89" s="170" t="s">
        <v>578</v>
      </c>
    </row>
    <row r="90" spans="1:15" x14ac:dyDescent="0.35">
      <c r="A90" s="174">
        <v>1097</v>
      </c>
      <c r="B90" s="175">
        <v>45225</v>
      </c>
      <c r="C90" s="167" t="s">
        <v>586</v>
      </c>
      <c r="D90" s="167" t="s">
        <v>584</v>
      </c>
      <c r="E90" s="174">
        <v>7633.98</v>
      </c>
      <c r="F90" s="174">
        <v>27</v>
      </c>
      <c r="G90" s="167" t="s">
        <v>302</v>
      </c>
      <c r="H90" s="174">
        <v>5046.51</v>
      </c>
      <c r="I90" s="176">
        <v>0.05</v>
      </c>
      <c r="J90" s="167" t="s">
        <v>286</v>
      </c>
      <c r="K90" s="170" t="str">
        <f t="shared" si="3"/>
        <v>Oct</v>
      </c>
      <c r="L90" s="170">
        <f t="shared" si="4"/>
        <v>2023</v>
      </c>
      <c r="M90" s="172">
        <v>0.25</v>
      </c>
      <c r="N90" s="173">
        <f t="shared" si="5"/>
        <v>1908.4949999999999</v>
      </c>
      <c r="O90" s="167" t="s">
        <v>578</v>
      </c>
    </row>
    <row r="91" spans="1:15" x14ac:dyDescent="0.35">
      <c r="A91" s="168">
        <v>1070</v>
      </c>
      <c r="B91" s="169">
        <v>45256</v>
      </c>
      <c r="C91" s="170" t="s">
        <v>579</v>
      </c>
      <c r="D91" s="170" t="s">
        <v>575</v>
      </c>
      <c r="E91" s="168">
        <v>5813.51</v>
      </c>
      <c r="F91" s="168">
        <v>40</v>
      </c>
      <c r="G91" s="170" t="s">
        <v>576</v>
      </c>
      <c r="H91" s="168">
        <v>3258.45</v>
      </c>
      <c r="I91" s="171">
        <v>0.28999999999999998</v>
      </c>
      <c r="J91" s="170" t="s">
        <v>289</v>
      </c>
      <c r="K91" s="170" t="str">
        <f t="shared" si="3"/>
        <v>Nov</v>
      </c>
      <c r="L91" s="170">
        <f t="shared" si="4"/>
        <v>2023</v>
      </c>
      <c r="M91" s="172">
        <v>0.25</v>
      </c>
      <c r="N91" s="173">
        <f t="shared" si="5"/>
        <v>1453.3775000000001</v>
      </c>
      <c r="O91" s="170" t="s">
        <v>577</v>
      </c>
    </row>
    <row r="92" spans="1:15" x14ac:dyDescent="0.35">
      <c r="A92" s="174">
        <v>1056</v>
      </c>
      <c r="B92" s="175">
        <v>45053</v>
      </c>
      <c r="C92" s="167" t="s">
        <v>579</v>
      </c>
      <c r="D92" s="167" t="s">
        <v>584</v>
      </c>
      <c r="E92" s="174">
        <v>7611.88</v>
      </c>
      <c r="F92" s="174">
        <v>28</v>
      </c>
      <c r="G92" s="167" t="s">
        <v>582</v>
      </c>
      <c r="H92" s="174">
        <v>1576.34</v>
      </c>
      <c r="I92" s="176">
        <v>0.2</v>
      </c>
      <c r="J92" s="167" t="s">
        <v>581</v>
      </c>
      <c r="K92" s="170" t="str">
        <f t="shared" si="3"/>
        <v>May</v>
      </c>
      <c r="L92" s="170">
        <f t="shared" si="4"/>
        <v>2023</v>
      </c>
      <c r="M92" s="172">
        <v>0.25</v>
      </c>
      <c r="N92" s="173">
        <f t="shared" si="5"/>
        <v>1902.97</v>
      </c>
      <c r="O92" s="167" t="s">
        <v>577</v>
      </c>
    </row>
    <row r="93" spans="1:15" x14ac:dyDescent="0.35">
      <c r="A93" s="168">
        <v>1019</v>
      </c>
      <c r="B93" s="169">
        <v>45228</v>
      </c>
      <c r="C93" s="170" t="s">
        <v>579</v>
      </c>
      <c r="D93" s="170" t="s">
        <v>435</v>
      </c>
      <c r="E93" s="168">
        <v>5952.19</v>
      </c>
      <c r="F93" s="168">
        <v>31</v>
      </c>
      <c r="G93" s="170" t="s">
        <v>11</v>
      </c>
      <c r="H93" s="168">
        <v>685.1</v>
      </c>
      <c r="I93" s="171">
        <v>0.04</v>
      </c>
      <c r="J93" s="170" t="s">
        <v>581</v>
      </c>
      <c r="K93" s="170" t="str">
        <f t="shared" si="3"/>
        <v>Oct</v>
      </c>
      <c r="L93" s="170">
        <f t="shared" si="4"/>
        <v>2023</v>
      </c>
      <c r="M93" s="172">
        <v>0.25</v>
      </c>
      <c r="N93" s="173">
        <f t="shared" si="5"/>
        <v>1488.0474999999999</v>
      </c>
      <c r="O93" s="170" t="s">
        <v>577</v>
      </c>
    </row>
    <row r="94" spans="1:15" x14ac:dyDescent="0.35">
      <c r="A94" s="174">
        <v>1068</v>
      </c>
      <c r="B94" s="175">
        <v>44981</v>
      </c>
      <c r="C94" s="167" t="s">
        <v>574</v>
      </c>
      <c r="D94" s="167" t="s">
        <v>575</v>
      </c>
      <c r="E94" s="174">
        <v>5118.51</v>
      </c>
      <c r="F94" s="174">
        <v>22</v>
      </c>
      <c r="G94" s="167" t="s">
        <v>582</v>
      </c>
      <c r="H94" s="174">
        <v>3651.42</v>
      </c>
      <c r="I94" s="176">
        <v>0.26</v>
      </c>
      <c r="J94" s="167" t="s">
        <v>581</v>
      </c>
      <c r="K94" s="170" t="str">
        <f t="shared" si="3"/>
        <v>Feb</v>
      </c>
      <c r="L94" s="170">
        <f t="shared" si="4"/>
        <v>2023</v>
      </c>
      <c r="M94" s="172">
        <v>0.25</v>
      </c>
      <c r="N94" s="173">
        <f t="shared" si="5"/>
        <v>1279.6275000000001</v>
      </c>
      <c r="O94" s="167" t="s">
        <v>577</v>
      </c>
    </row>
    <row r="95" spans="1:15" x14ac:dyDescent="0.35">
      <c r="A95" s="168">
        <v>1017</v>
      </c>
      <c r="B95" s="169">
        <v>45128</v>
      </c>
      <c r="C95" s="170" t="s">
        <v>579</v>
      </c>
      <c r="D95" s="170" t="s">
        <v>584</v>
      </c>
      <c r="E95" s="168">
        <v>3388.69</v>
      </c>
      <c r="F95" s="168">
        <v>1</v>
      </c>
      <c r="G95" s="170" t="s">
        <v>11</v>
      </c>
      <c r="H95" s="168">
        <v>404.69</v>
      </c>
      <c r="I95" s="171">
        <v>0.28999999999999998</v>
      </c>
      <c r="J95" s="170" t="s">
        <v>581</v>
      </c>
      <c r="K95" s="170" t="str">
        <f t="shared" si="3"/>
        <v>Jul</v>
      </c>
      <c r="L95" s="170">
        <f t="shared" si="4"/>
        <v>2023</v>
      </c>
      <c r="M95" s="172">
        <v>0.25</v>
      </c>
      <c r="N95" s="173">
        <f t="shared" si="5"/>
        <v>847.17250000000001</v>
      </c>
      <c r="O95" s="170" t="s">
        <v>577</v>
      </c>
    </row>
    <row r="96" spans="1:15" x14ac:dyDescent="0.35">
      <c r="A96" s="174">
        <v>1069</v>
      </c>
      <c r="B96" s="175">
        <v>45080</v>
      </c>
      <c r="C96" s="167" t="s">
        <v>579</v>
      </c>
      <c r="D96" s="167" t="s">
        <v>435</v>
      </c>
      <c r="E96" s="174">
        <v>6581.04</v>
      </c>
      <c r="F96" s="174">
        <v>42</v>
      </c>
      <c r="G96" s="167" t="s">
        <v>582</v>
      </c>
      <c r="H96" s="174">
        <v>1482.88</v>
      </c>
      <c r="I96" s="176">
        <v>0.28000000000000003</v>
      </c>
      <c r="J96" s="167" t="s">
        <v>286</v>
      </c>
      <c r="K96" s="170" t="str">
        <f t="shared" si="3"/>
        <v>Jun</v>
      </c>
      <c r="L96" s="170">
        <f t="shared" si="4"/>
        <v>2023</v>
      </c>
      <c r="M96" s="172">
        <v>0.25</v>
      </c>
      <c r="N96" s="173">
        <f t="shared" si="5"/>
        <v>1645.26</v>
      </c>
      <c r="O96" s="167" t="s">
        <v>578</v>
      </c>
    </row>
    <row r="97" spans="1:15" x14ac:dyDescent="0.35">
      <c r="A97" s="168">
        <v>1098</v>
      </c>
      <c r="B97" s="169">
        <v>45217</v>
      </c>
      <c r="C97" s="170" t="s">
        <v>585</v>
      </c>
      <c r="D97" s="170" t="s">
        <v>435</v>
      </c>
      <c r="E97" s="168">
        <v>1600.79</v>
      </c>
      <c r="F97" s="168">
        <v>21</v>
      </c>
      <c r="G97" s="170" t="s">
        <v>576</v>
      </c>
      <c r="H97" s="168">
        <v>828.94999999999993</v>
      </c>
      <c r="I97" s="171">
        <v>0.18</v>
      </c>
      <c r="J97" s="170" t="s">
        <v>581</v>
      </c>
      <c r="K97" s="170" t="str">
        <f t="shared" si="3"/>
        <v>Oct</v>
      </c>
      <c r="L97" s="170">
        <f t="shared" si="4"/>
        <v>2023</v>
      </c>
      <c r="M97" s="172">
        <v>0.25</v>
      </c>
      <c r="N97" s="173">
        <f t="shared" si="5"/>
        <v>400.19749999999999</v>
      </c>
      <c r="O97" s="170" t="s">
        <v>577</v>
      </c>
    </row>
    <row r="98" spans="1:15" x14ac:dyDescent="0.35">
      <c r="A98" s="174">
        <v>1016</v>
      </c>
      <c r="B98" s="175">
        <v>45016</v>
      </c>
      <c r="C98" s="167" t="s">
        <v>585</v>
      </c>
      <c r="D98" s="167" t="s">
        <v>584</v>
      </c>
      <c r="E98" s="174">
        <v>4309.76</v>
      </c>
      <c r="F98" s="174">
        <v>38</v>
      </c>
      <c r="G98" s="167" t="s">
        <v>302</v>
      </c>
      <c r="H98" s="174">
        <v>4152.72</v>
      </c>
      <c r="I98" s="176">
        <v>0.26</v>
      </c>
      <c r="J98" s="167" t="s">
        <v>289</v>
      </c>
      <c r="K98" s="170" t="str">
        <f t="shared" si="3"/>
        <v>Mar</v>
      </c>
      <c r="L98" s="170">
        <f t="shared" si="4"/>
        <v>2023</v>
      </c>
      <c r="M98" s="172">
        <v>0.25</v>
      </c>
      <c r="N98" s="173">
        <f t="shared" si="5"/>
        <v>1077.44</v>
      </c>
      <c r="O98" s="167" t="s">
        <v>577</v>
      </c>
    </row>
    <row r="99" spans="1:15" x14ac:dyDescent="0.35">
      <c r="A99" s="168">
        <v>1020</v>
      </c>
      <c r="B99" s="169">
        <v>45177</v>
      </c>
      <c r="C99" s="170" t="s">
        <v>585</v>
      </c>
      <c r="D99" s="170" t="s">
        <v>575</v>
      </c>
      <c r="E99" s="168">
        <v>9733.4699999999993</v>
      </c>
      <c r="F99" s="168">
        <v>26</v>
      </c>
      <c r="G99" s="170" t="s">
        <v>582</v>
      </c>
      <c r="H99" s="168">
        <v>4770.42</v>
      </c>
      <c r="I99" s="171">
        <v>0.01</v>
      </c>
      <c r="J99" s="170" t="s">
        <v>286</v>
      </c>
      <c r="K99" s="170" t="str">
        <f t="shared" si="3"/>
        <v>Sep</v>
      </c>
      <c r="L99" s="170">
        <f t="shared" si="4"/>
        <v>2023</v>
      </c>
      <c r="M99" s="172">
        <v>0.25</v>
      </c>
      <c r="N99" s="173">
        <f t="shared" si="5"/>
        <v>2433.3674999999998</v>
      </c>
      <c r="O99" s="170" t="s">
        <v>578</v>
      </c>
    </row>
    <row r="100" spans="1:15" x14ac:dyDescent="0.35">
      <c r="A100" s="174">
        <v>1067</v>
      </c>
      <c r="B100" s="175">
        <v>45106</v>
      </c>
      <c r="C100" s="167" t="s">
        <v>585</v>
      </c>
      <c r="D100" s="167" t="s">
        <v>580</v>
      </c>
      <c r="E100" s="174">
        <v>114.59</v>
      </c>
      <c r="F100" s="174">
        <v>48</v>
      </c>
      <c r="G100" s="167" t="s">
        <v>11</v>
      </c>
      <c r="H100" s="174">
        <v>4625.5599999999995</v>
      </c>
      <c r="I100" s="176">
        <v>0.1</v>
      </c>
      <c r="J100" s="167" t="s">
        <v>581</v>
      </c>
      <c r="K100" s="170" t="str">
        <f t="shared" si="3"/>
        <v>Jun</v>
      </c>
      <c r="L100" s="170">
        <f t="shared" si="4"/>
        <v>2023</v>
      </c>
      <c r="M100" s="172">
        <v>0.25</v>
      </c>
      <c r="N100" s="173">
        <f t="shared" si="5"/>
        <v>28.647500000000001</v>
      </c>
      <c r="O100" s="167" t="s">
        <v>577</v>
      </c>
    </row>
    <row r="101" spans="1:15" x14ac:dyDescent="0.35">
      <c r="A101" s="168">
        <v>1031</v>
      </c>
      <c r="B101" s="169">
        <v>45268</v>
      </c>
      <c r="C101" s="170" t="s">
        <v>579</v>
      </c>
      <c r="D101" s="170" t="s">
        <v>575</v>
      </c>
      <c r="E101" s="168">
        <v>7567.06</v>
      </c>
      <c r="F101" s="168">
        <v>22</v>
      </c>
      <c r="G101" s="170" t="s">
        <v>11</v>
      </c>
      <c r="H101" s="168">
        <v>4382.3200000000006</v>
      </c>
      <c r="I101" s="171">
        <v>0.2</v>
      </c>
      <c r="J101" s="170" t="s">
        <v>581</v>
      </c>
      <c r="K101" s="170" t="str">
        <f t="shared" si="3"/>
        <v>Dec</v>
      </c>
      <c r="L101" s="170">
        <f t="shared" si="4"/>
        <v>2023</v>
      </c>
      <c r="M101" s="172">
        <v>0.25</v>
      </c>
      <c r="N101" s="173">
        <f t="shared" si="5"/>
        <v>1891.7650000000001</v>
      </c>
      <c r="O101" s="170" t="s">
        <v>577</v>
      </c>
    </row>
    <row r="102" spans="1:15" x14ac:dyDescent="0.35">
      <c r="A102" s="174">
        <v>1025</v>
      </c>
      <c r="B102" s="175">
        <v>45214</v>
      </c>
      <c r="C102" s="167" t="s">
        <v>579</v>
      </c>
      <c r="D102" s="167" t="s">
        <v>575</v>
      </c>
      <c r="E102" s="174">
        <v>3422.54</v>
      </c>
      <c r="F102" s="174">
        <v>44</v>
      </c>
      <c r="G102" s="167" t="s">
        <v>11</v>
      </c>
      <c r="H102" s="174">
        <v>1717.97</v>
      </c>
      <c r="I102" s="176">
        <v>0.02</v>
      </c>
      <c r="J102" s="167" t="s">
        <v>286</v>
      </c>
      <c r="K102" s="170" t="str">
        <f t="shared" si="3"/>
        <v>Oct</v>
      </c>
      <c r="L102" s="170">
        <f t="shared" si="4"/>
        <v>2023</v>
      </c>
      <c r="M102" s="172">
        <v>0.25</v>
      </c>
      <c r="N102" s="173">
        <f t="shared" si="5"/>
        <v>855.63499999999999</v>
      </c>
      <c r="O102" s="167" t="s">
        <v>578</v>
      </c>
    </row>
    <row r="103" spans="1:15" x14ac:dyDescent="0.35">
      <c r="A103" s="168">
        <v>1046</v>
      </c>
      <c r="B103" s="169">
        <v>44946</v>
      </c>
      <c r="C103" s="170" t="s">
        <v>585</v>
      </c>
      <c r="D103" s="170" t="s">
        <v>584</v>
      </c>
      <c r="E103" s="168">
        <v>4104.82</v>
      </c>
      <c r="F103" s="168">
        <v>43</v>
      </c>
      <c r="G103" s="170" t="s">
        <v>582</v>
      </c>
      <c r="H103" s="168">
        <v>4199.3</v>
      </c>
      <c r="I103" s="171">
        <v>0.1</v>
      </c>
      <c r="J103" s="170" t="s">
        <v>581</v>
      </c>
      <c r="K103" s="170" t="str">
        <f t="shared" si="3"/>
        <v>Jan</v>
      </c>
      <c r="L103" s="170">
        <f t="shared" si="4"/>
        <v>2023</v>
      </c>
      <c r="M103" s="172">
        <v>0.25</v>
      </c>
      <c r="N103" s="173">
        <f t="shared" si="5"/>
        <v>1026.2049999999999</v>
      </c>
      <c r="O103" s="170" t="s">
        <v>578</v>
      </c>
    </row>
    <row r="104" spans="1:15" x14ac:dyDescent="0.35">
      <c r="A104" s="200">
        <v>1010</v>
      </c>
      <c r="B104" s="201">
        <v>44973</v>
      </c>
      <c r="C104" s="202" t="s">
        <v>579</v>
      </c>
      <c r="D104" s="202" t="s">
        <v>584</v>
      </c>
      <c r="E104" s="200">
        <v>1678.97</v>
      </c>
      <c r="F104" s="200">
        <v>47</v>
      </c>
      <c r="G104" s="202" t="s">
        <v>576</v>
      </c>
      <c r="H104" s="200">
        <v>2429.9300000000003</v>
      </c>
      <c r="I104" s="203">
        <v>0.06</v>
      </c>
      <c r="J104" s="202" t="s">
        <v>581</v>
      </c>
      <c r="K104" s="204" t="str">
        <f t="shared" si="3"/>
        <v>Feb</v>
      </c>
      <c r="L104" s="204">
        <f t="shared" si="4"/>
        <v>2023</v>
      </c>
      <c r="M104" s="205">
        <v>0.25</v>
      </c>
      <c r="N104" s="206">
        <f t="shared" si="5"/>
        <v>419.74250000000001</v>
      </c>
      <c r="O104" s="202" t="s">
        <v>577</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topLeftCell="A7" zoomScaleNormal="100" workbookViewId="0">
      <selection activeCell="C18" sqref="C18"/>
    </sheetView>
  </sheetViews>
  <sheetFormatPr defaultColWidth="9.1796875" defaultRowHeight="14.5" x14ac:dyDescent="0.35"/>
  <cols>
    <col min="1" max="1" width="9.1796875" style="2"/>
    <col min="5" max="5" width="10.1796875" customWidth="1"/>
    <col min="7" max="7" width="14.81640625" bestFit="1" customWidth="1"/>
    <col min="8" max="8" width="9.453125" bestFit="1" customWidth="1"/>
    <col min="9" max="9" width="14.54296875" customWidth="1"/>
  </cols>
  <sheetData>
    <row r="1" spans="1:5" x14ac:dyDescent="0.35">
      <c r="A1" s="2" t="s">
        <v>51</v>
      </c>
    </row>
    <row r="2" spans="1:5" x14ac:dyDescent="0.35">
      <c r="A2" s="2" t="s">
        <v>52</v>
      </c>
    </row>
    <row r="3" spans="1:5" x14ac:dyDescent="0.35">
      <c r="A3" s="2" t="s">
        <v>53</v>
      </c>
    </row>
    <row r="4" spans="1:5" x14ac:dyDescent="0.35">
      <c r="A4" s="2" t="s">
        <v>54</v>
      </c>
    </row>
    <row r="5" spans="1:5" x14ac:dyDescent="0.35">
      <c r="A5" s="2" t="s">
        <v>55</v>
      </c>
    </row>
    <row r="6" spans="1:5" x14ac:dyDescent="0.35">
      <c r="A6" s="2" t="s">
        <v>56</v>
      </c>
    </row>
    <row r="7" spans="1:5" x14ac:dyDescent="0.35">
      <c r="A7" s="2" t="s">
        <v>2</v>
      </c>
    </row>
    <row r="15" spans="1:5" x14ac:dyDescent="0.35">
      <c r="B15" s="32" t="s">
        <v>3</v>
      </c>
      <c r="C15" s="30" t="s">
        <v>4</v>
      </c>
      <c r="D15" s="30" t="s">
        <v>5</v>
      </c>
      <c r="E15" s="33" t="s">
        <v>6</v>
      </c>
    </row>
    <row r="16" spans="1:5" x14ac:dyDescent="0.35">
      <c r="B16" s="34">
        <v>42736</v>
      </c>
      <c r="C16" s="31" t="s">
        <v>8</v>
      </c>
      <c r="D16" s="31" t="s">
        <v>9</v>
      </c>
      <c r="E16" s="36">
        <v>74</v>
      </c>
    </row>
    <row r="17" spans="2:5" x14ac:dyDescent="0.35">
      <c r="B17" s="35">
        <v>42750</v>
      </c>
      <c r="C17" s="29" t="s">
        <v>8</v>
      </c>
      <c r="D17" s="29" t="s">
        <v>11</v>
      </c>
      <c r="E17" s="37">
        <v>235</v>
      </c>
    </row>
    <row r="18" spans="2:5" x14ac:dyDescent="0.35">
      <c r="B18" s="34">
        <v>42752</v>
      </c>
      <c r="C18" s="31" t="s">
        <v>10</v>
      </c>
      <c r="D18" s="31" t="s">
        <v>12</v>
      </c>
      <c r="E18" s="36">
        <v>20</v>
      </c>
    </row>
    <row r="19" spans="2:5" x14ac:dyDescent="0.35">
      <c r="B19" s="35">
        <v>42756</v>
      </c>
      <c r="C19" s="29" t="s">
        <v>13</v>
      </c>
      <c r="D19" s="29" t="s">
        <v>14</v>
      </c>
      <c r="E19" s="37">
        <v>125</v>
      </c>
    </row>
    <row r="20" spans="2:5" x14ac:dyDescent="0.35">
      <c r="B20" s="34">
        <v>42768</v>
      </c>
      <c r="C20" s="31" t="s">
        <v>8</v>
      </c>
      <c r="D20" s="31" t="s">
        <v>11</v>
      </c>
      <c r="E20" s="36">
        <v>235</v>
      </c>
    </row>
    <row r="21" spans="2:5" x14ac:dyDescent="0.35">
      <c r="B21" s="35">
        <v>42786</v>
      </c>
      <c r="C21" s="29" t="s">
        <v>13</v>
      </c>
      <c r="D21" s="29" t="s">
        <v>16</v>
      </c>
      <c r="E21" s="37">
        <v>20</v>
      </c>
    </row>
    <row r="22" spans="2:5" x14ac:dyDescent="0.35">
      <c r="B22" s="34">
        <v>42791</v>
      </c>
      <c r="C22" s="31" t="s">
        <v>13</v>
      </c>
      <c r="D22" s="31" t="s">
        <v>17</v>
      </c>
      <c r="E22" s="36">
        <v>125</v>
      </c>
    </row>
  </sheetData>
  <pageMargins left="0.7" right="0.7" top="0.75" bottom="0.75" header="0.3" footer="0.3"/>
  <pageSetup orientation="portrait" verticalDpi="2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81640625" defaultRowHeight="14.5" customHeight="1" x14ac:dyDescent="0.35"/>
  <cols>
    <col min="1" max="1" width="8.81640625" style="2"/>
    <col min="2" max="2" width="95.1796875" customWidth="1"/>
  </cols>
  <sheetData>
    <row r="1" spans="1:2" ht="14.5" customHeight="1" x14ac:dyDescent="0.35">
      <c r="A1" s="2" t="s">
        <v>86</v>
      </c>
    </row>
    <row r="2" spans="1:2" s="14" customFormat="1" ht="14.5" customHeight="1" x14ac:dyDescent="0.45">
      <c r="A2" s="2" t="s">
        <v>57</v>
      </c>
      <c r="B2"/>
    </row>
    <row r="3" spans="1:2" s="14" customFormat="1" ht="14.5" customHeight="1" x14ac:dyDescent="0.45">
      <c r="A3" s="2" t="s">
        <v>58</v>
      </c>
      <c r="B3"/>
    </row>
    <row r="4" spans="1:2" s="15" customFormat="1" ht="14.5" customHeight="1" x14ac:dyDescent="0.9">
      <c r="A4" s="2" t="s">
        <v>59</v>
      </c>
      <c r="B4"/>
    </row>
    <row r="5" spans="1:2" s="16" customFormat="1" ht="14.5" customHeight="1" x14ac:dyDescent="0.35">
      <c r="A5" s="2" t="s">
        <v>60</v>
      </c>
      <c r="B5"/>
    </row>
    <row r="6" spans="1:2" s="16" customFormat="1" ht="14.5" customHeight="1" x14ac:dyDescent="0.35">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4.xml>��
</file>

<file path=customXml/itemProps1.xml><?xml version="1.0" encoding="utf-8"?>
<ds:datastoreItem xmlns:ds="http://schemas.openxmlformats.org/officeDocument/2006/customXml" ds:itemID="{CF2E394B-F75E-4244-8A70-E58274CB1B28}">
  <ds:schemaRefs>
    <ds:schemaRef ds:uri="http://schemas.microsoft.com/sharepoint/v3/contenttype/forms"/>
  </ds:schemaRefs>
</ds:datastoreItem>
</file>

<file path=customXml/itemProps2.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FC6C91-5C9C-41A3-B28D-6841DEE6CCE7}">
  <ds:schemaRefs>
    <ds:schemaRef ds:uri="http://schemas.microsoft.com/office/2006/metadata/properties"/>
    <ds:schemaRef ds:uri="http://schemas.microsoft.com/office/2006/documentManagement/types"/>
    <ds:schemaRef ds:uri="http://purl.org/dc/elements/1.1/"/>
    <ds:schemaRef ds:uri="16c05727-aa75-4e4a-9b5f-8a80a1165891"/>
    <ds:schemaRef ds:uri="http://purl.org/dc/dcmitype/"/>
    <ds:schemaRef ds:uri="http://schemas.microsoft.com/office/infopath/2007/PartnerControls"/>
    <ds:schemaRef ds:uri="http://schemas.openxmlformats.org/package/2006/metadata/core-properties"/>
    <ds:schemaRef ds:uri="230e9df3-be65-4c73-a93b-d1236ebd677e"/>
    <ds:schemaRef ds:uri="71af3243-3dd4-4a8d-8c0d-dd76da1f02a5"/>
    <ds:schemaRef ds:uri="http://schemas.microsoft.com/sharepoint/v3"/>
    <ds:schemaRef ds:uri="http://www.w3.org/XML/1998/namespace"/>
    <ds:schemaRef ds:uri="http://purl.org/dc/terms/"/>
  </ds:schemaRefs>
</ds:datastoreItem>
</file>

<file path=customXml/itemProps4.xml><?xml version="1.0" encoding="utf-8"?>
<ds:datastoreItem xmlns:ds="http://schemas.openxmlformats.org/officeDocument/2006/customXml" ds:itemID="{0B11F869-1F42-4822-8EF6-CC206A325A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31</vt:i4>
      </vt:variant>
      <vt:variant>
        <vt:lpstr>Named Ranges</vt:lpstr>
      </vt:variant>
      <vt:variant>
        <vt:i4>2</vt:i4>
      </vt:variant>
    </vt:vector>
  </HeadingPairs>
  <TitlesOfParts>
    <vt:vector size="33"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Sheet1</vt:lpstr>
      <vt:lpstr>Sheet2</vt:lpstr>
      <vt:lpstr>Student Marksheet </vt:lpstr>
      <vt:lpstr>Sheet3</vt:lpstr>
      <vt:lpstr>Expense Tracker</vt:lpstr>
      <vt:lpstr>Sales Dashboard</vt:lpstr>
      <vt:lpstr>Pivot Tables</vt:lpstr>
      <vt:lpstr>Sheet8</vt:lpstr>
      <vt:lpstr>Raw_Data</vt:lpstr>
      <vt:lpstr>20</vt:lpstr>
      <vt:lpstr>Learn more</vt:lpstr>
      <vt:lpstr>Sheet2!Criteria</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2026-05-28T07:56:55Z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